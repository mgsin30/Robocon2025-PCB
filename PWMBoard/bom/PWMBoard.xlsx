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ugod\Documents\ロボット研究部\基板\PWMBoard\"/>
    </mc:Choice>
  </mc:AlternateContent>
  <xr:revisionPtr revIDLastSave="0" documentId="13_ncr:1_{3D00400E-0161-4085-91B0-931A9C60DFC6}" xr6:coauthVersionLast="47" xr6:coauthVersionMax="47" xr10:uidLastSave="{00000000-0000-0000-0000-000000000000}"/>
  <bookViews>
    <workbookView xWindow="14295" yWindow="0" windowWidth="14610" windowHeight="15585" xr2:uid="{EFC63906-D068-4AB2-83A7-32DDA7C987E9}"/>
  </bookViews>
  <sheets>
    <sheet name="PWMBoar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6" i="1"/>
  <c r="G17" i="1"/>
  <c r="G18" i="1"/>
  <c r="G19" i="1"/>
  <c r="G20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2" i="1"/>
  <c r="G43" i="1" s="1"/>
</calcChain>
</file>

<file path=xl/sharedStrings.xml><?xml version="1.0" encoding="utf-8"?>
<sst xmlns="http://schemas.openxmlformats.org/spreadsheetml/2006/main" count="166" uniqueCount="155">
  <si>
    <t>Reference</t>
  </si>
  <si>
    <t>Qty</t>
  </si>
  <si>
    <t>Value</t>
  </si>
  <si>
    <t>Name</t>
  </si>
  <si>
    <t>URL</t>
  </si>
  <si>
    <t>Price</t>
  </si>
  <si>
    <t>C1</t>
  </si>
  <si>
    <t>4.7u</t>
  </si>
  <si>
    <t>GRM188R60J226MEA0D</t>
  </si>
  <si>
    <t>https://www.digikey.jp/ja/products/detail/murata-electronics/GRM188R60J226MEA0D/4280542</t>
  </si>
  <si>
    <t>C2</t>
  </si>
  <si>
    <t>GRM188R60G106ME47D</t>
  </si>
  <si>
    <t>https://www.digikey.jp/ja/products/detail/murata-electronics/GRM188R60G106ME47D/702562</t>
  </si>
  <si>
    <t>C3,C4,C6,C10,C11,C12,C13,C14,C15,C16,C17,C18</t>
  </si>
  <si>
    <t>0.1u</t>
  </si>
  <si>
    <t>GCJ188R91H124KA01D</t>
  </si>
  <si>
    <t>https://www.digikey.jp/ja/products/detail/murata-electronics/GCJ188R91H124KA01D/13401917</t>
  </si>
  <si>
    <t>C5</t>
  </si>
  <si>
    <t>GCM188D70J106ME36D</t>
  </si>
  <si>
    <t>https://www.digikey.jp/ja/products/detail/murata-electronics/GCM188D70J106ME36D/13401877</t>
  </si>
  <si>
    <t>C7</t>
  </si>
  <si>
    <t>1u</t>
  </si>
  <si>
    <t>C8,C9</t>
  </si>
  <si>
    <t>15p</t>
  </si>
  <si>
    <t>GCM1885C2A150JA16D</t>
  </si>
  <si>
    <t>https://www.digikey.jp/ja/products/detail/murata-electronics/GCM1885C2A150JA16D/1765189</t>
  </si>
  <si>
    <t>D1</t>
  </si>
  <si>
    <t>LED</t>
  </si>
  <si>
    <t>SML-D12D8WT86</t>
  </si>
  <si>
    <t>https://www.digikey.jp/ja/products/detail/rohm-semiconductor/SML-D12D8WT86/1641796</t>
  </si>
  <si>
    <t>D2,D3,D4</t>
  </si>
  <si>
    <t>CAN_RX,CAN_TX,Data</t>
  </si>
  <si>
    <t>SML-D14MWT86A</t>
  </si>
  <si>
    <t>https://www.digikey.jp/ja/products/detail/rohm-semiconductor/SML-D14MWT86A/9448204</t>
  </si>
  <si>
    <t>D5,D6,D16</t>
  </si>
  <si>
    <t>D</t>
  </si>
  <si>
    <t>PMEG3010ER,115</t>
  </si>
  <si>
    <t>https://www.digikey.jp/ja/products/detail/nexperia-usa-inc/PMEG3010ER-115/2119868</t>
  </si>
  <si>
    <t>D7,D8,D9,D10,D11,D12,D13,D14,D17</t>
  </si>
  <si>
    <t>SMLD12BN1WT86</t>
  </si>
  <si>
    <t>https://www.digikey.jp/ja/products/detail/rohm-semiconductor/SMLD12BN1WT86/9826162</t>
  </si>
  <si>
    <t>D15</t>
  </si>
  <si>
    <t>SML-D12U8WT86</t>
  </si>
  <si>
    <t>https://www.digikey.jp/ja/products/detail/rohm-semiconductor/SML-D12U8WT86/1641799</t>
  </si>
  <si>
    <t>F1,F2</t>
  </si>
  <si>
    <t>Polyfuse</t>
  </si>
  <si>
    <t>MF-FSMF020X-2</t>
  </si>
  <si>
    <t>https://akizukidenshi.com/catalog/g/g114311/</t>
  </si>
  <si>
    <t>FB1</t>
  </si>
  <si>
    <t>FerriteBead</t>
  </si>
  <si>
    <t>BLM18KG601SN1D</t>
  </si>
  <si>
    <t>https://www.digikey.jp/ja/products/detail/murata-electronics/BLM18KG601SN1D/1982766</t>
  </si>
  <si>
    <t>H1,H2,H3,H4</t>
  </si>
  <si>
    <t>MountingHole_Pad</t>
  </si>
  <si>
    <t>-</t>
  </si>
  <si>
    <t>J1</t>
  </si>
  <si>
    <t>SWD</t>
  </si>
  <si>
    <t>SM04B-SRSS-TB</t>
  </si>
  <si>
    <t>https://www.digikey.jp/ja/products/detail/jst-sales-america-inc/SM04B-SRSS-TB/926710</t>
  </si>
  <si>
    <t>J2</t>
  </si>
  <si>
    <t>Debug</t>
  </si>
  <si>
    <t>5077CR-16-SMC2-BK-TR</t>
  </si>
  <si>
    <t>https://akizukidenshi.com/catalog/g/g114356/</t>
  </si>
  <si>
    <t>J3</t>
  </si>
  <si>
    <t>CAN</t>
  </si>
  <si>
    <t>JS-1200R-06</t>
  </si>
  <si>
    <t>https://eleshop.jp/shop/g/g7AB411/</t>
  </si>
  <si>
    <t>J4,J5,J6,J7,J8,J9,J10,J11</t>
  </si>
  <si>
    <t>LED1</t>
  </si>
  <si>
    <t>S03B-PASK-2</t>
  </si>
  <si>
    <t>https://www.digikey.jp/ja/products/detail/jst-sales-america-inc/S03B-PASK-2/926754</t>
  </si>
  <si>
    <t>J12</t>
  </si>
  <si>
    <t>BATT</t>
  </si>
  <si>
    <t>XT30PW-M</t>
  </si>
  <si>
    <t>https://akizukidenshi.com/catalog/g/g117949/</t>
  </si>
  <si>
    <t>JP1,JP2</t>
  </si>
  <si>
    <t>MCP2561/2FD selector,SolderJumper_3_Open</t>
  </si>
  <si>
    <t>R1,R21</t>
  </si>
  <si>
    <t>ESR03EZPJ431</t>
  </si>
  <si>
    <t>https://www.digikey.jp/ja/products/detail/rohm-semiconductor/ESR03EZPJ431/4051257?s=N4IgjCBcoCwGxVAYygMwIYBsDOBTANCAPZQDaIA7ABwAMATCALqEAOALlCAMpsBOAlgDsA5iAC%2BhMAE4qUxCBSQMOAsTIgaTCSDo0qAVnmLleQiUjkYAZhoACAPIALALbYmrDpBABVQfzb2qACyuOjYAK68uOKEALRy0ApQfOGq5uQQjNqxDImKKWnqhllxEHloWKZqFiBU8FpxMEYVKmbqVnUUCFnaueSAgwyAwwyA6wyArUaA6UZaQA</t>
  </si>
  <si>
    <t>R2</t>
  </si>
  <si>
    <t>ESR03EZPJ241</t>
  </si>
  <si>
    <t>https://www.digikey.jp/ja/products/detail/rohm-semiconductor/ESR03EZPJ241/1762728?s=N4IgjCBcoCwGxVAYygMwIYBsDOBTANCAPZQDaIA7ABwAMATCALqEAOALlCAMpsBOAlgDsA5iAC%2BhMAE4qUxCBSQMOAsTIgaTCSDo0qAVnmLleQiUjk6MGgAIA8gAsAttiasOkEAFVB-NndQAWVx0bABXXlxxQgBaOWgFKD4w1XNyCEZtGIYExWTU9UNM2IhctCxTNQsQKngtWJgjcpUzdQBmWooETO0c8kBBhkBhhkB1hkBWo0B0oy0gA</t>
  </si>
  <si>
    <t>R3,R4,R7,R8</t>
  </si>
  <si>
    <t>100,96</t>
  </si>
  <si>
    <t>ESR03EZPJ101</t>
  </si>
  <si>
    <t>https://www.digikey.jp/ja/products/detail/rohm-semiconductor/ESR03EZPJ101/1983452</t>
  </si>
  <si>
    <t>R5,R6</t>
  </si>
  <si>
    <t>5.1k</t>
  </si>
  <si>
    <t>ESR03EZPJ512</t>
  </si>
  <si>
    <t>https://www.digikey.jp/ja/products/detail/rohm-semiconductor/ESR03EZPJ512/1762735</t>
  </si>
  <si>
    <t>R9</t>
  </si>
  <si>
    <t>ESR03EZPF5900</t>
  </si>
  <si>
    <t>https://www.digikey.jp/ja/products/detail/rohm-semiconductor/ESR03EZPF5900/20506305?s=N4IgjCBcpgbFoDGUBmBDANgZwKYBoQB7KAbRAGYBOAJgBZ4BdAgBwBcoQBlVgJwEsAdgHMQAXwJhKADkoIQySOmz4ipEAAYQDcSGrqpAVjkKluAsUhkDldQAIA8gAsAtli0t2kEAFUBfVvYoALI4aFgArjw4YgQAtBDQ8qiYZqqWIFL0WjqxtMbJyuZq5JkA7Iw5sokKvOEqFmQQ2nHU%2BZC19WpG2jqt6YCDDIDDDIDrDICtRoDpRtlAA</t>
  </si>
  <si>
    <t>R10</t>
  </si>
  <si>
    <t>ESR03EZPJ301</t>
  </si>
  <si>
    <t>https://www.digikey.jp/ja/products/detail/rohm-semiconductor/ESR03EZPJ301/1762729</t>
  </si>
  <si>
    <t>R11</t>
  </si>
  <si>
    <t>ESR03EZPJ121</t>
  </si>
  <si>
    <t>https://www.digikey.jp/ja/products/detail/rohm-semiconductor/ESR03EZPJ121/1983454</t>
  </si>
  <si>
    <t>R12,R13,R14,R15,R16,R17,R18,R19</t>
  </si>
  <si>
    <t>ESR03EZPJ820</t>
  </si>
  <si>
    <t>https://www.digikey.jp/ja/products/detail/rohm-semiconductor/ESR03EZPJ820/4051294</t>
  </si>
  <si>
    <t>R20,R22</t>
  </si>
  <si>
    <t>10k</t>
  </si>
  <si>
    <t>ESR03EZPJ103</t>
  </si>
  <si>
    <t>https://www.digikey.jp/ja/products/detail/rohm-semiconductor/ESR03EZPJ103/1762722</t>
  </si>
  <si>
    <t>SW1</t>
  </si>
  <si>
    <t>Reset</t>
  </si>
  <si>
    <t>TVAF06-A020B-R</t>
  </si>
  <si>
    <t>https://akizukidenshi.com/catalog/g/g114888/</t>
  </si>
  <si>
    <t>SW2</t>
  </si>
  <si>
    <t>SW_Coded</t>
  </si>
  <si>
    <t>RDS-16S-1055-SMT-TR</t>
  </si>
  <si>
    <t>https://www.digikey.jp/ja/products/detail/same-sky-formerly-cui-devices/RDS-16S-1055-SMT-TR/12424507</t>
  </si>
  <si>
    <t>SW3</t>
  </si>
  <si>
    <t>CAN_R</t>
  </si>
  <si>
    <t>SLW-913535-2A-SMT</t>
  </si>
  <si>
    <t>https://www.digikey.jp/ja/products/detail/same-sky-formerly-cui-devices/SLW-913535-2A-SMT/21259974?_gl=1*2eq727*_up*MQ..*_gs*MQ..&amp;gclid=Cj0KCQjwqIm_BhDnARIsAKBYcmtr85GvWvmuwiIiB0lEAl5wBh9HzS525Q1VXsHXNad484Q9yd81RwYaAhDCEALw_wcB&amp;gclsrc=aw.ds</t>
  </si>
  <si>
    <t>U1</t>
  </si>
  <si>
    <t>TLV1117-33</t>
  </si>
  <si>
    <t>TLV1117-33CDCYR</t>
  </si>
  <si>
    <t>https://www.digikey.jp/ja/products/detail/texas-instruments/TLV1117-33CDCYR/1216718</t>
  </si>
  <si>
    <t>U2</t>
  </si>
  <si>
    <t>STM32F303K8Tx</t>
  </si>
  <si>
    <t>STM32F303K8T6</t>
  </si>
  <si>
    <t>https://akizukidenshi.com/catalog/g/g110790/</t>
  </si>
  <si>
    <t>U3</t>
  </si>
  <si>
    <t>MCP2561/2FD</t>
  </si>
  <si>
    <t>MCP2562FD-E/SN</t>
  </si>
  <si>
    <t>https://www.digikey.jp/ja/products/detail/microchip-technology/MCP2562FD-E-SN/4842808</t>
  </si>
  <si>
    <t>U4,U5</t>
  </si>
  <si>
    <t>ISO6740</t>
  </si>
  <si>
    <t>ISO6740FQDWRQ1</t>
  </si>
  <si>
    <t>https://www.digikey.jp/en/products/detail/texas-instruments/ISO6740FQDWRQ1/15205117</t>
  </si>
  <si>
    <t>U6</t>
  </si>
  <si>
    <t>CH340E</t>
  </si>
  <si>
    <t>https://akizukidenshi.com/catalog/g/g113543/</t>
  </si>
  <si>
    <t>U7</t>
  </si>
  <si>
    <t>LED_GRB</t>
  </si>
  <si>
    <t>SMLVN6RGB1W1</t>
  </si>
  <si>
    <t>https://www.digikey.jp/ja/products/detail/rohm-semiconductor/SMLVN6RGB1W1/5053781</t>
  </si>
  <si>
    <t>U8</t>
  </si>
  <si>
    <t>TLV760</t>
  </si>
  <si>
    <t>TLV76050DBZR</t>
  </si>
  <si>
    <t>https://www.digikey.jp/ja/products/detail/texas-instruments/TLV76050DBZR/7402852</t>
  </si>
  <si>
    <t>Y1</t>
  </si>
  <si>
    <t>Crystal_GND2</t>
  </si>
  <si>
    <t>XRCGB32M000F1SADR0</t>
  </si>
  <si>
    <t>https://www.digikey.jp/ja/products/detail/murata-electronics/XRCGB32M000F1SADR0/21662918?s=N4IgTCBcDaIBoCUDCBxAQgZjAWQAz4DEBGAZQEEARBXEAXQF8g</t>
  </si>
  <si>
    <t>Price*Qty</t>
    <phoneticPr fontId="18"/>
  </si>
  <si>
    <t>-</t>
    <phoneticPr fontId="18"/>
  </si>
  <si>
    <t>合計</t>
    <rPh sb="0" eb="2">
      <t>ゴウケイ</t>
    </rPh>
    <phoneticPr fontId="18"/>
  </si>
  <si>
    <t>GRM188D71H105ME01W</t>
  </si>
  <si>
    <t>https://www.digikey.jp/ja/products/detail/murata-electronics/GRM188D71H105ME01W/22528412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</si>
</sst>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3" fontId="0" fillId="0" borderId="0" xfId="0" applyNumberFormat="1">
      <alignment vertical="center"/>
    </xf>
  </cellXfs>
  <cellStyles count="42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D9F1-D7AB-42BB-88C4-5AAC17F31793}">
  <dimension ref="A1:G43"/>
  <sheetViews>
    <sheetView tabSelected="1" topLeftCell="A10" workbookViewId="0">
      <selection activeCell="D41" sqref="D41"/>
    </sheetView>
  </sheetViews>
  <sheetFormatPr defaultRowHeight="18.75" x14ac:dyDescent="0.4"/>
  <cols>
    <col min="5" max="5" width="38" customWidth="1"/>
  </cols>
  <sheetData>
    <row r="1" spans="1:7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150</v>
      </c>
    </row>
    <row r="2" spans="1:7" x14ac:dyDescent="0.4">
      <c r="A2" t="s">
        <v>6</v>
      </c>
      <c r="B2">
        <v>1</v>
      </c>
      <c r="C2" t="s">
        <v>7</v>
      </c>
      <c r="D2" t="s">
        <v>8</v>
      </c>
      <c r="E2" t="s">
        <v>9</v>
      </c>
      <c r="F2">
        <v>30</v>
      </c>
      <c r="G2">
        <f>F2*B2</f>
        <v>30</v>
      </c>
    </row>
    <row r="3" spans="1:7" x14ac:dyDescent="0.4">
      <c r="A3" t="s">
        <v>10</v>
      </c>
      <c r="B3">
        <v>1</v>
      </c>
      <c r="C3" t="s">
        <v>7</v>
      </c>
      <c r="D3" t="s">
        <v>11</v>
      </c>
      <c r="E3" t="s">
        <v>12</v>
      </c>
      <c r="F3">
        <v>19</v>
      </c>
      <c r="G3">
        <f t="shared" ref="G3:G41" si="0">F3*B3</f>
        <v>19</v>
      </c>
    </row>
    <row r="4" spans="1:7" x14ac:dyDescent="0.4">
      <c r="A4" t="s">
        <v>13</v>
      </c>
      <c r="B4">
        <v>12</v>
      </c>
      <c r="C4" t="s">
        <v>14</v>
      </c>
      <c r="D4" t="s">
        <v>15</v>
      </c>
      <c r="E4" t="s">
        <v>16</v>
      </c>
      <c r="F4">
        <v>36</v>
      </c>
      <c r="G4">
        <f t="shared" si="0"/>
        <v>432</v>
      </c>
    </row>
    <row r="5" spans="1:7" x14ac:dyDescent="0.4">
      <c r="A5" t="s">
        <v>17</v>
      </c>
      <c r="B5">
        <v>1</v>
      </c>
      <c r="C5" t="s">
        <v>7</v>
      </c>
      <c r="D5" t="s">
        <v>18</v>
      </c>
      <c r="E5" t="s">
        <v>19</v>
      </c>
      <c r="F5">
        <v>53</v>
      </c>
      <c r="G5">
        <f t="shared" si="0"/>
        <v>53</v>
      </c>
    </row>
    <row r="6" spans="1:7" x14ac:dyDescent="0.4">
      <c r="A6" t="s">
        <v>20</v>
      </c>
      <c r="B6">
        <v>1</v>
      </c>
      <c r="C6" t="s">
        <v>21</v>
      </c>
      <c r="D6" t="s">
        <v>153</v>
      </c>
      <c r="E6" t="s">
        <v>154</v>
      </c>
      <c r="F6">
        <v>47</v>
      </c>
      <c r="G6">
        <f t="shared" si="0"/>
        <v>47</v>
      </c>
    </row>
    <row r="7" spans="1:7" x14ac:dyDescent="0.4">
      <c r="A7" t="s">
        <v>22</v>
      </c>
      <c r="B7">
        <v>2</v>
      </c>
      <c r="C7" t="s">
        <v>23</v>
      </c>
      <c r="D7" t="s">
        <v>24</v>
      </c>
      <c r="E7" t="s">
        <v>25</v>
      </c>
      <c r="F7">
        <v>16</v>
      </c>
      <c r="G7">
        <f t="shared" si="0"/>
        <v>32</v>
      </c>
    </row>
    <row r="8" spans="1:7" x14ac:dyDescent="0.4">
      <c r="A8" t="s">
        <v>26</v>
      </c>
      <c r="B8">
        <v>1</v>
      </c>
      <c r="C8" t="s">
        <v>27</v>
      </c>
      <c r="D8" t="s">
        <v>28</v>
      </c>
      <c r="E8" t="s">
        <v>29</v>
      </c>
      <c r="F8">
        <v>30</v>
      </c>
      <c r="G8">
        <f t="shared" si="0"/>
        <v>30</v>
      </c>
    </row>
    <row r="9" spans="1:7" x14ac:dyDescent="0.4">
      <c r="A9" t="s">
        <v>30</v>
      </c>
      <c r="B9">
        <v>3</v>
      </c>
      <c r="C9" t="s">
        <v>31</v>
      </c>
      <c r="D9" t="s">
        <v>32</v>
      </c>
      <c r="E9" t="s">
        <v>33</v>
      </c>
      <c r="F9">
        <v>53</v>
      </c>
      <c r="G9">
        <f t="shared" si="0"/>
        <v>159</v>
      </c>
    </row>
    <row r="10" spans="1:7" x14ac:dyDescent="0.4">
      <c r="A10" t="s">
        <v>34</v>
      </c>
      <c r="B10">
        <v>3</v>
      </c>
      <c r="C10" t="s">
        <v>35</v>
      </c>
      <c r="D10" t="s">
        <v>36</v>
      </c>
      <c r="E10" t="s">
        <v>37</v>
      </c>
      <c r="F10">
        <v>30</v>
      </c>
      <c r="G10">
        <f t="shared" si="0"/>
        <v>90</v>
      </c>
    </row>
    <row r="11" spans="1:7" x14ac:dyDescent="0.4">
      <c r="A11" t="s">
        <v>38</v>
      </c>
      <c r="B11">
        <v>9</v>
      </c>
      <c r="C11" t="s">
        <v>27</v>
      </c>
      <c r="D11" t="s">
        <v>39</v>
      </c>
      <c r="E11" t="s">
        <v>40</v>
      </c>
      <c r="F11">
        <v>48</v>
      </c>
      <c r="G11">
        <f t="shared" si="0"/>
        <v>432</v>
      </c>
    </row>
    <row r="12" spans="1:7" x14ac:dyDescent="0.4">
      <c r="A12" t="s">
        <v>41</v>
      </c>
      <c r="B12">
        <v>1</v>
      </c>
      <c r="C12" t="s">
        <v>27</v>
      </c>
      <c r="D12" t="s">
        <v>42</v>
      </c>
      <c r="E12" t="s">
        <v>43</v>
      </c>
      <c r="F12">
        <v>30</v>
      </c>
      <c r="G12">
        <f t="shared" si="0"/>
        <v>30</v>
      </c>
    </row>
    <row r="13" spans="1:7" x14ac:dyDescent="0.4">
      <c r="A13" t="s">
        <v>44</v>
      </c>
      <c r="B13">
        <v>2</v>
      </c>
      <c r="C13" t="s">
        <v>45</v>
      </c>
      <c r="D13" t="s">
        <v>46</v>
      </c>
      <c r="E13" t="s">
        <v>47</v>
      </c>
      <c r="F13">
        <v>20</v>
      </c>
      <c r="G13">
        <f t="shared" si="0"/>
        <v>40</v>
      </c>
    </row>
    <row r="14" spans="1:7" x14ac:dyDescent="0.4">
      <c r="A14" t="s">
        <v>48</v>
      </c>
      <c r="B14">
        <v>1</v>
      </c>
      <c r="C14" t="s">
        <v>49</v>
      </c>
      <c r="D14" t="s">
        <v>50</v>
      </c>
      <c r="E14" t="s">
        <v>51</v>
      </c>
      <c r="F14">
        <v>16</v>
      </c>
      <c r="G14">
        <f t="shared" si="0"/>
        <v>16</v>
      </c>
    </row>
    <row r="15" spans="1:7" x14ac:dyDescent="0.4">
      <c r="A15" t="s">
        <v>52</v>
      </c>
      <c r="B15">
        <v>4</v>
      </c>
      <c r="C15" t="s">
        <v>53</v>
      </c>
      <c r="D15" t="s">
        <v>54</v>
      </c>
      <c r="E15" t="s">
        <v>54</v>
      </c>
      <c r="F15" t="s">
        <v>54</v>
      </c>
      <c r="G15" t="s">
        <v>151</v>
      </c>
    </row>
    <row r="16" spans="1:7" x14ac:dyDescent="0.4">
      <c r="A16" t="s">
        <v>55</v>
      </c>
      <c r="B16">
        <v>1</v>
      </c>
      <c r="C16" t="s">
        <v>56</v>
      </c>
      <c r="D16" t="s">
        <v>57</v>
      </c>
      <c r="E16" t="s">
        <v>58</v>
      </c>
      <c r="F16">
        <v>81</v>
      </c>
      <c r="G16">
        <f t="shared" si="0"/>
        <v>81</v>
      </c>
    </row>
    <row r="17" spans="1:7" x14ac:dyDescent="0.4">
      <c r="A17" t="s">
        <v>59</v>
      </c>
      <c r="B17">
        <v>1</v>
      </c>
      <c r="C17" t="s">
        <v>60</v>
      </c>
      <c r="D17" t="s">
        <v>61</v>
      </c>
      <c r="E17" t="s">
        <v>62</v>
      </c>
      <c r="F17">
        <v>110</v>
      </c>
      <c r="G17">
        <f t="shared" si="0"/>
        <v>110</v>
      </c>
    </row>
    <row r="18" spans="1:7" x14ac:dyDescent="0.4">
      <c r="A18" t="s">
        <v>63</v>
      </c>
      <c r="B18">
        <v>1</v>
      </c>
      <c r="C18" t="s">
        <v>64</v>
      </c>
      <c r="D18" t="s">
        <v>65</v>
      </c>
      <c r="E18" t="s">
        <v>66</v>
      </c>
      <c r="F18">
        <v>62</v>
      </c>
      <c r="G18">
        <f t="shared" si="0"/>
        <v>62</v>
      </c>
    </row>
    <row r="19" spans="1:7" x14ac:dyDescent="0.4">
      <c r="A19" t="s">
        <v>67</v>
      </c>
      <c r="B19">
        <v>8</v>
      </c>
      <c r="C19" t="s">
        <v>68</v>
      </c>
      <c r="D19" t="s">
        <v>69</v>
      </c>
      <c r="E19" t="s">
        <v>70</v>
      </c>
      <c r="F19">
        <v>59</v>
      </c>
      <c r="G19">
        <f t="shared" si="0"/>
        <v>472</v>
      </c>
    </row>
    <row r="20" spans="1:7" x14ac:dyDescent="0.4">
      <c r="A20" t="s">
        <v>71</v>
      </c>
      <c r="B20">
        <v>1</v>
      </c>
      <c r="C20" t="s">
        <v>72</v>
      </c>
      <c r="D20" t="s">
        <v>73</v>
      </c>
      <c r="E20" t="s">
        <v>74</v>
      </c>
      <c r="F20">
        <v>70</v>
      </c>
      <c r="G20">
        <f t="shared" si="0"/>
        <v>70</v>
      </c>
    </row>
    <row r="21" spans="1:7" x14ac:dyDescent="0.4">
      <c r="A21" t="s">
        <v>75</v>
      </c>
      <c r="B21">
        <v>2</v>
      </c>
      <c r="C21" t="s">
        <v>76</v>
      </c>
      <c r="D21" t="s">
        <v>54</v>
      </c>
      <c r="E21" t="s">
        <v>54</v>
      </c>
      <c r="F21" t="s">
        <v>54</v>
      </c>
      <c r="G21" t="s">
        <v>151</v>
      </c>
    </row>
    <row r="22" spans="1:7" x14ac:dyDescent="0.4">
      <c r="A22" t="s">
        <v>77</v>
      </c>
      <c r="B22">
        <v>2</v>
      </c>
      <c r="C22" s="1">
        <v>420430</v>
      </c>
      <c r="D22" t="s">
        <v>78</v>
      </c>
      <c r="E22" t="s">
        <v>79</v>
      </c>
      <c r="F22">
        <v>22</v>
      </c>
      <c r="G22">
        <f t="shared" si="0"/>
        <v>44</v>
      </c>
    </row>
    <row r="23" spans="1:7" x14ac:dyDescent="0.4">
      <c r="A23" t="s">
        <v>80</v>
      </c>
      <c r="B23">
        <v>1</v>
      </c>
      <c r="C23">
        <v>243</v>
      </c>
      <c r="D23" t="s">
        <v>81</v>
      </c>
      <c r="E23" t="s">
        <v>82</v>
      </c>
      <c r="F23">
        <v>22</v>
      </c>
      <c r="G23">
        <f t="shared" si="0"/>
        <v>22</v>
      </c>
    </row>
    <row r="24" spans="1:7" x14ac:dyDescent="0.4">
      <c r="A24" t="s">
        <v>83</v>
      </c>
      <c r="B24">
        <v>4</v>
      </c>
      <c r="C24" t="s">
        <v>84</v>
      </c>
      <c r="D24" t="s">
        <v>85</v>
      </c>
      <c r="E24" t="s">
        <v>86</v>
      </c>
      <c r="F24">
        <v>22</v>
      </c>
      <c r="G24">
        <f t="shared" si="0"/>
        <v>88</v>
      </c>
    </row>
    <row r="25" spans="1:7" x14ac:dyDescent="0.4">
      <c r="A25" t="s">
        <v>87</v>
      </c>
      <c r="B25">
        <v>2</v>
      </c>
      <c r="C25" t="s">
        <v>88</v>
      </c>
      <c r="D25" t="s">
        <v>89</v>
      </c>
      <c r="E25" t="s">
        <v>90</v>
      </c>
      <c r="F25">
        <v>22</v>
      </c>
      <c r="G25">
        <f t="shared" si="0"/>
        <v>44</v>
      </c>
    </row>
    <row r="26" spans="1:7" x14ac:dyDescent="0.4">
      <c r="A26" t="s">
        <v>91</v>
      </c>
      <c r="B26">
        <v>1</v>
      </c>
      <c r="C26">
        <v>600</v>
      </c>
      <c r="D26" t="s">
        <v>92</v>
      </c>
      <c r="E26" t="s">
        <v>93</v>
      </c>
      <c r="F26">
        <v>22</v>
      </c>
      <c r="G26">
        <f t="shared" si="0"/>
        <v>22</v>
      </c>
    </row>
    <row r="27" spans="1:7" x14ac:dyDescent="0.4">
      <c r="A27" t="s">
        <v>94</v>
      </c>
      <c r="B27">
        <v>1</v>
      </c>
      <c r="C27">
        <v>300</v>
      </c>
      <c r="D27" t="s">
        <v>95</v>
      </c>
      <c r="E27" t="s">
        <v>96</v>
      </c>
      <c r="F27">
        <v>22</v>
      </c>
      <c r="G27">
        <f t="shared" si="0"/>
        <v>22</v>
      </c>
    </row>
    <row r="28" spans="1:7" x14ac:dyDescent="0.4">
      <c r="A28" t="s">
        <v>97</v>
      </c>
      <c r="B28">
        <v>1</v>
      </c>
      <c r="C28">
        <v>120</v>
      </c>
      <c r="D28" t="s">
        <v>98</v>
      </c>
      <c r="E28" t="s">
        <v>99</v>
      </c>
      <c r="F28">
        <v>22</v>
      </c>
      <c r="G28">
        <f t="shared" si="0"/>
        <v>22</v>
      </c>
    </row>
    <row r="29" spans="1:7" x14ac:dyDescent="0.4">
      <c r="A29" t="s">
        <v>100</v>
      </c>
      <c r="B29">
        <v>8</v>
      </c>
      <c r="C29">
        <v>80</v>
      </c>
      <c r="D29" t="s">
        <v>101</v>
      </c>
      <c r="E29" t="s">
        <v>102</v>
      </c>
      <c r="F29">
        <v>22</v>
      </c>
      <c r="G29">
        <f t="shared" si="0"/>
        <v>176</v>
      </c>
    </row>
    <row r="30" spans="1:7" x14ac:dyDescent="0.4">
      <c r="A30" t="s">
        <v>103</v>
      </c>
      <c r="B30">
        <v>2</v>
      </c>
      <c r="C30" t="s">
        <v>104</v>
      </c>
      <c r="D30" t="s">
        <v>105</v>
      </c>
      <c r="E30" t="s">
        <v>106</v>
      </c>
      <c r="F30">
        <v>22</v>
      </c>
      <c r="G30">
        <f t="shared" si="0"/>
        <v>44</v>
      </c>
    </row>
    <row r="31" spans="1:7" x14ac:dyDescent="0.4">
      <c r="A31" t="s">
        <v>107</v>
      </c>
      <c r="B31">
        <v>1</v>
      </c>
      <c r="C31" t="s">
        <v>108</v>
      </c>
      <c r="D31" t="s">
        <v>109</v>
      </c>
      <c r="E31" t="s">
        <v>110</v>
      </c>
      <c r="F31">
        <v>22</v>
      </c>
      <c r="G31">
        <f t="shared" si="0"/>
        <v>22</v>
      </c>
    </row>
    <row r="32" spans="1:7" x14ac:dyDescent="0.4">
      <c r="A32" t="s">
        <v>111</v>
      </c>
      <c r="B32">
        <v>1</v>
      </c>
      <c r="C32" t="s">
        <v>112</v>
      </c>
      <c r="D32" t="s">
        <v>113</v>
      </c>
      <c r="E32" t="s">
        <v>114</v>
      </c>
      <c r="F32">
        <v>458</v>
      </c>
      <c r="G32">
        <f t="shared" si="0"/>
        <v>458</v>
      </c>
    </row>
    <row r="33" spans="1:7" x14ac:dyDescent="0.4">
      <c r="A33" t="s">
        <v>115</v>
      </c>
      <c r="B33">
        <v>1</v>
      </c>
      <c r="C33" t="s">
        <v>116</v>
      </c>
      <c r="D33" t="s">
        <v>117</v>
      </c>
      <c r="E33" t="s">
        <v>118</v>
      </c>
      <c r="F33">
        <v>87</v>
      </c>
      <c r="G33">
        <f t="shared" si="0"/>
        <v>87</v>
      </c>
    </row>
    <row r="34" spans="1:7" x14ac:dyDescent="0.4">
      <c r="A34" t="s">
        <v>119</v>
      </c>
      <c r="B34">
        <v>1</v>
      </c>
      <c r="C34" t="s">
        <v>120</v>
      </c>
      <c r="D34" t="s">
        <v>121</v>
      </c>
      <c r="E34" t="s">
        <v>122</v>
      </c>
      <c r="F34">
        <v>63</v>
      </c>
      <c r="G34">
        <f t="shared" si="0"/>
        <v>63</v>
      </c>
    </row>
    <row r="35" spans="1:7" x14ac:dyDescent="0.4">
      <c r="A35" t="s">
        <v>123</v>
      </c>
      <c r="B35">
        <v>1</v>
      </c>
      <c r="C35" t="s">
        <v>124</v>
      </c>
      <c r="D35" t="s">
        <v>125</v>
      </c>
      <c r="E35" t="s">
        <v>126</v>
      </c>
      <c r="F35">
        <v>780</v>
      </c>
      <c r="G35">
        <f t="shared" si="0"/>
        <v>780</v>
      </c>
    </row>
    <row r="36" spans="1:7" x14ac:dyDescent="0.4">
      <c r="A36" t="s">
        <v>127</v>
      </c>
      <c r="B36">
        <v>1</v>
      </c>
      <c r="C36" t="s">
        <v>128</v>
      </c>
      <c r="D36" t="s">
        <v>129</v>
      </c>
      <c r="E36" t="s">
        <v>130</v>
      </c>
      <c r="F36">
        <v>153</v>
      </c>
      <c r="G36">
        <f t="shared" si="0"/>
        <v>153</v>
      </c>
    </row>
    <row r="37" spans="1:7" x14ac:dyDescent="0.4">
      <c r="A37" t="s">
        <v>131</v>
      </c>
      <c r="B37">
        <v>2</v>
      </c>
      <c r="C37" t="s">
        <v>132</v>
      </c>
      <c r="D37" t="s">
        <v>133</v>
      </c>
      <c r="E37" t="s">
        <v>134</v>
      </c>
      <c r="F37">
        <v>339</v>
      </c>
      <c r="G37">
        <f t="shared" si="0"/>
        <v>678</v>
      </c>
    </row>
    <row r="38" spans="1:7" x14ac:dyDescent="0.4">
      <c r="A38" t="s">
        <v>135</v>
      </c>
      <c r="B38">
        <v>1</v>
      </c>
      <c r="C38" t="s">
        <v>136</v>
      </c>
      <c r="D38" t="s">
        <v>136</v>
      </c>
      <c r="E38" t="s">
        <v>137</v>
      </c>
      <c r="F38">
        <v>90</v>
      </c>
      <c r="G38">
        <f t="shared" si="0"/>
        <v>90</v>
      </c>
    </row>
    <row r="39" spans="1:7" x14ac:dyDescent="0.4">
      <c r="A39" t="s">
        <v>138</v>
      </c>
      <c r="B39">
        <v>1</v>
      </c>
      <c r="C39" t="s">
        <v>139</v>
      </c>
      <c r="D39" t="s">
        <v>140</v>
      </c>
      <c r="E39" t="s">
        <v>141</v>
      </c>
      <c r="F39">
        <v>244</v>
      </c>
      <c r="G39">
        <f t="shared" si="0"/>
        <v>244</v>
      </c>
    </row>
    <row r="40" spans="1:7" x14ac:dyDescent="0.4">
      <c r="A40" t="s">
        <v>142</v>
      </c>
      <c r="B40">
        <v>1</v>
      </c>
      <c r="C40" t="s">
        <v>143</v>
      </c>
      <c r="D40" t="s">
        <v>144</v>
      </c>
      <c r="E40" t="s">
        <v>145</v>
      </c>
      <c r="F40">
        <v>30</v>
      </c>
      <c r="G40">
        <f t="shared" si="0"/>
        <v>30</v>
      </c>
    </row>
    <row r="41" spans="1:7" x14ac:dyDescent="0.4">
      <c r="A41" t="s">
        <v>146</v>
      </c>
      <c r="B41">
        <v>1</v>
      </c>
      <c r="C41" t="s">
        <v>147</v>
      </c>
      <c r="D41" t="s">
        <v>148</v>
      </c>
      <c r="E41" t="s">
        <v>149</v>
      </c>
      <c r="F41">
        <v>52</v>
      </c>
      <c r="G41">
        <f t="shared" si="0"/>
        <v>52</v>
      </c>
    </row>
    <row r="43" spans="1:7" x14ac:dyDescent="0.4">
      <c r="F43" t="s">
        <v>152</v>
      </c>
      <c r="G43">
        <f>SUM(G2:G41)</f>
        <v>5346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PWMBoard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Yuta Amo</dc:creator>
  <cp:lastModifiedBy>天?優太_阿南高専</cp:lastModifiedBy>
  <dcterms:created xsi:type="dcterms:W3CDTF">2025-04-03T05:30:55Z</dcterms:created>
  <dcterms:modified xsi:type="dcterms:W3CDTF">2025-04-10T04:44:30Z</dcterms:modified>
</cp:coreProperties>
</file>