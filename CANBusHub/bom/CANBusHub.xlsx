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基板\Robocon2025-PCB\CANBusHub\bom\"/>
    </mc:Choice>
  </mc:AlternateContent>
  <xr:revisionPtr revIDLastSave="0" documentId="13_ncr:1_{69E62182-C0B0-4250-ABF2-6935F5A6A1B5}" xr6:coauthVersionLast="47" xr6:coauthVersionMax="47" xr10:uidLastSave="{00000000-0000-0000-0000-000000000000}"/>
  <bookViews>
    <workbookView xWindow="-120" yWindow="-120" windowWidth="29040" windowHeight="15720" xr2:uid="{BD010420-876B-4347-99CD-E544F86399CC}"/>
  </bookViews>
  <sheets>
    <sheet name="CANBusHub" sheetId="1" r:id="rId1"/>
  </sheets>
  <definedNames>
    <definedName name="_xlnm._FilterDatabase" localSheetId="0" hidden="1">CANBusHub!$C$1:$C$11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  <c r="F10" i="1" l="1"/>
  <c r="F11" i="1"/>
</calcChain>
</file>

<file path=xl/sharedStrings.xml><?xml version="1.0" encoding="utf-8"?>
<sst xmlns="http://schemas.openxmlformats.org/spreadsheetml/2006/main" count="30" uniqueCount="30">
  <si>
    <t>Reference</t>
  </si>
  <si>
    <t>Name</t>
  </si>
  <si>
    <t>URL</t>
  </si>
  <si>
    <t>Price</t>
  </si>
  <si>
    <t>Qty</t>
  </si>
  <si>
    <t>D1</t>
  </si>
  <si>
    <t>SML-D12D8WT86</t>
  </si>
  <si>
    <t>https://www.digikey.jp/ja/products/detail/rohm-semiconductor/SML-D12D8WT86/1641796</t>
  </si>
  <si>
    <t>J1,J2,J7,J8</t>
  </si>
  <si>
    <t>S04B-PASK-2</t>
  </si>
  <si>
    <t>https://www.digikey.jp/ja/products/detail/jst-sales-america-inc/S04B-PASK-2/926755</t>
  </si>
  <si>
    <t>J3,J4,J5,J6</t>
  </si>
  <si>
    <t>FHU-2x42SG</t>
  </si>
  <si>
    <t>https://akizukidenshi.com/catalog/g/g105780/</t>
  </si>
  <si>
    <t>J11</t>
  </si>
  <si>
    <t>USB4125-GF-A</t>
  </si>
  <si>
    <t>https://www.digikey.jp/ja/products/detail/gct/USB4125-GF-A/13547388</t>
  </si>
  <si>
    <t>R1</t>
  </si>
  <si>
    <t>ESR03EZPJ431</t>
  </si>
  <si>
    <t>https://www.digikey.jp/ja/products/detail/rohm-semiconductor/ESR03EZPJ431/4051257</t>
  </si>
  <si>
    <t>R2,R3</t>
  </si>
  <si>
    <t>ESR03EZPJ512</t>
  </si>
  <si>
    <t>https://www.digikey.jp/ja/products/detail/rohm-semiconductor/ESR03EZPJ512/1762735</t>
  </si>
  <si>
    <t>SW1,SW2,SW3,SW4,SW5,SW6,SW7,SW8</t>
  </si>
  <si>
    <t>SLW-913535-2A-SMT</t>
  </si>
  <si>
    <t>https://www.digikey.jp/ja/products/detail/same-sky-formerly-cui-devices/SLW-913535-2A-SMT/21259974</t>
  </si>
  <si>
    <t>Total</t>
    <phoneticPr fontId="18"/>
  </si>
  <si>
    <t>合計</t>
    <rPh sb="0" eb="2">
      <t>ゴウケイ</t>
    </rPh>
    <phoneticPr fontId="18"/>
  </si>
  <si>
    <t>円</t>
    <rPh sb="0" eb="1">
      <t>エン</t>
    </rPh>
    <phoneticPr fontId="18"/>
  </si>
  <si>
    <t>実質</t>
    <rPh sb="0" eb="2">
      <t>ジッシツ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</si>
</sst>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8B52-73EF-4790-862F-2F3770FA596F}">
  <dimension ref="A1:G11"/>
  <sheetViews>
    <sheetView tabSelected="1" workbookViewId="0">
      <selection activeCell="B2" sqref="B2"/>
    </sheetView>
  </sheetViews>
  <sheetFormatPr defaultRowHeight="18.75" x14ac:dyDescent="0.4"/>
  <cols>
    <col min="2" max="2" width="28.875" customWidth="1"/>
    <col min="3" max="3" width="20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</row>
    <row r="2" spans="1:7" x14ac:dyDescent="0.4">
      <c r="A2" t="s">
        <v>5</v>
      </c>
      <c r="B2" t="s">
        <v>6</v>
      </c>
      <c r="C2" t="s">
        <v>7</v>
      </c>
      <c r="D2">
        <v>28</v>
      </c>
      <c r="E2">
        <v>1</v>
      </c>
      <c r="F2">
        <f>D2*E2</f>
        <v>28</v>
      </c>
    </row>
    <row r="3" spans="1:7" x14ac:dyDescent="0.4">
      <c r="A3" t="s">
        <v>8</v>
      </c>
      <c r="B3" t="s">
        <v>9</v>
      </c>
      <c r="C3" t="s">
        <v>10</v>
      </c>
      <c r="D3">
        <v>46</v>
      </c>
      <c r="E3">
        <v>4</v>
      </c>
      <c r="F3">
        <f t="shared" ref="F3:F8" si="0">D3*E3</f>
        <v>184</v>
      </c>
    </row>
    <row r="4" spans="1:7" x14ac:dyDescent="0.4">
      <c r="A4" t="s">
        <v>11</v>
      </c>
      <c r="B4" t="s">
        <v>12</v>
      </c>
      <c r="C4" t="s">
        <v>13</v>
      </c>
      <c r="D4">
        <v>100</v>
      </c>
      <c r="E4">
        <v>4</v>
      </c>
      <c r="F4">
        <f t="shared" si="0"/>
        <v>400</v>
      </c>
    </row>
    <row r="5" spans="1:7" x14ac:dyDescent="0.4">
      <c r="A5" t="s">
        <v>14</v>
      </c>
      <c r="B5" t="s">
        <v>15</v>
      </c>
      <c r="C5" t="s">
        <v>16</v>
      </c>
      <c r="D5">
        <v>88</v>
      </c>
      <c r="E5">
        <v>1</v>
      </c>
      <c r="F5">
        <f t="shared" si="0"/>
        <v>88</v>
      </c>
    </row>
    <row r="6" spans="1:7" x14ac:dyDescent="0.4">
      <c r="A6" t="s">
        <v>17</v>
      </c>
      <c r="B6" t="s">
        <v>18</v>
      </c>
      <c r="C6" t="s">
        <v>19</v>
      </c>
      <c r="D6">
        <v>21</v>
      </c>
      <c r="E6">
        <v>1</v>
      </c>
      <c r="F6">
        <f t="shared" si="0"/>
        <v>21</v>
      </c>
    </row>
    <row r="7" spans="1:7" x14ac:dyDescent="0.4">
      <c r="A7" t="s">
        <v>20</v>
      </c>
      <c r="B7" t="s">
        <v>21</v>
      </c>
      <c r="C7" t="s">
        <v>22</v>
      </c>
      <c r="D7">
        <v>21</v>
      </c>
      <c r="E7">
        <v>2</v>
      </c>
      <c r="F7">
        <f t="shared" si="0"/>
        <v>42</v>
      </c>
    </row>
    <row r="8" spans="1:7" x14ac:dyDescent="0.4">
      <c r="A8" t="s">
        <v>23</v>
      </c>
      <c r="B8" t="s">
        <v>24</v>
      </c>
      <c r="C8" t="s">
        <v>25</v>
      </c>
      <c r="D8">
        <v>84</v>
      </c>
      <c r="E8">
        <v>8</v>
      </c>
      <c r="F8">
        <f t="shared" si="0"/>
        <v>672</v>
      </c>
    </row>
    <row r="10" spans="1:7" x14ac:dyDescent="0.4">
      <c r="E10" s="1" t="s">
        <v>27</v>
      </c>
      <c r="F10">
        <f>SUM(F2:F8)</f>
        <v>1435</v>
      </c>
      <c r="G10" t="s">
        <v>28</v>
      </c>
    </row>
    <row r="11" spans="1:7" x14ac:dyDescent="0.4">
      <c r="E11" t="s">
        <v>29</v>
      </c>
      <c r="F11">
        <f>F2+F5+F6+F7+F8/2</f>
        <v>515</v>
      </c>
    </row>
  </sheetData>
  <autoFilter ref="C1:C11" xr:uid="{7A828B52-73EF-4790-862F-2F3770FA596F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CANBusHub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天?優太_阿南高専</cp:lastModifiedBy>
  <dcterms:created xsi:type="dcterms:W3CDTF">2025-05-29T10:48:39Z</dcterms:created>
  <dcterms:modified xsi:type="dcterms:W3CDTF">2025-06-12T11:11:48Z</dcterms:modified>
</cp:coreProperties>
</file>