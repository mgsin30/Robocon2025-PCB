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MotorDriver\bom\"/>
    </mc:Choice>
  </mc:AlternateContent>
  <xr:revisionPtr revIDLastSave="0" documentId="13_ncr:9_{FF8D37DB-9852-40A2-84AD-ED1EF24522B9}" xr6:coauthVersionLast="47" xr6:coauthVersionMax="47" xr10:uidLastSave="{00000000-0000-0000-0000-000000000000}"/>
  <bookViews>
    <workbookView xWindow="-210" yWindow="16080" windowWidth="29040" windowHeight="15720" xr2:uid="{7E4276CA-38E8-4AFB-B519-20FC74FB4699}"/>
  </bookViews>
  <sheets>
    <sheet name="MotorDriver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2" i="1"/>
  <c r="G62" i="1" l="1"/>
  <c r="G63" i="1" s="1"/>
</calcChain>
</file>

<file path=xl/sharedStrings.xml><?xml version="1.0" encoding="utf-8"?>
<sst xmlns="http://schemas.openxmlformats.org/spreadsheetml/2006/main" count="248" uniqueCount="233">
  <si>
    <t>Reference</t>
  </si>
  <si>
    <t>Value</t>
  </si>
  <si>
    <t>URL</t>
  </si>
  <si>
    <t>Name</t>
  </si>
  <si>
    <t>Price</t>
  </si>
  <si>
    <t>Qty</t>
  </si>
  <si>
    <t>C1</t>
  </si>
  <si>
    <t>0.33u</t>
  </si>
  <si>
    <t>https://www.digikey.jp/ja/products/detail/samsung-electro-mechanics/CL10A225KB8NNNC/10479006</t>
  </si>
  <si>
    <t>CL10A225KB8NNNC</t>
  </si>
  <si>
    <t>C2</t>
  </si>
  <si>
    <t>4.7u</t>
  </si>
  <si>
    <t>https://www.digikey.jp/ja/products/detail/murata-electronics/GRM188R60J226MEA0D/4280542</t>
  </si>
  <si>
    <t>GRM188R60J226MEA0D</t>
  </si>
  <si>
    <t>C3,C7,C9,C14,C15,C19,C20,C21,C23,C24,C25,C26</t>
  </si>
  <si>
    <t>0.1u</t>
  </si>
  <si>
    <t>https://www.digikey.jp/ja/products/detail/murata-electronics/GCJ188R91H124KA01D/13401917</t>
  </si>
  <si>
    <t>GCJ188R91H124KA01D</t>
  </si>
  <si>
    <t>C4,C18</t>
  </si>
  <si>
    <t>https://www.digikey.jp/ja/products/detail/murata-electronics/GRM188R60G106ME47D/702562</t>
  </si>
  <si>
    <t>GRM188R60G106ME47D</t>
  </si>
  <si>
    <t>C5,C6</t>
  </si>
  <si>
    <t>330u</t>
  </si>
  <si>
    <t>https://akizukidenshi.com/catalog/g/g117278/</t>
  </si>
  <si>
    <t>50TPV330M10X10.5</t>
  </si>
  <si>
    <t>C8,C11,C12</t>
  </si>
  <si>
    <t>1000p</t>
  </si>
  <si>
    <t>https://www.digikey.jp/ja/products/detail/w%C3%BCrth-elektronik/885012006029/5453626</t>
  </si>
  <si>
    <t>C10,C13</t>
  </si>
  <si>
    <t>2.5u</t>
  </si>
  <si>
    <t>https://www.digikey.jp/ja/products/detail/samsung-electro-mechanics/CL10A226MO7JZNC/7320581</t>
  </si>
  <si>
    <t>CL10A226MO7JZNC</t>
  </si>
  <si>
    <t>C16,C17</t>
  </si>
  <si>
    <t>15p</t>
  </si>
  <si>
    <t>https://www.digikey.jp/ja/products/detail/murata-electronics/GCM1885C2A150JA16D/1765189</t>
  </si>
  <si>
    <t>GCM1885C2A150JA16D</t>
  </si>
  <si>
    <t>C22</t>
  </si>
  <si>
    <t>1u</t>
  </si>
  <si>
    <t>https://www.digikey.jp/ja/products/detail/murata-electronics/GRM188D71H105ME01W/22528412</t>
  </si>
  <si>
    <t>GRM188D71H105ME01W</t>
  </si>
  <si>
    <t>D1,D15</t>
  </si>
  <si>
    <t>D</t>
  </si>
  <si>
    <t xml:space="preserve">https://www.digikey.jp/ja/products/detail/nexperia-usa-inc/PMEG3010ER-115/2119868 </t>
  </si>
  <si>
    <t>PMEG3010ER,115</t>
  </si>
  <si>
    <t>D2,D3,D4,D8,D9,D10,D11</t>
  </si>
  <si>
    <t>CAN_R,MA,MB,OCD1,OCD2,SW1,SW2</t>
  </si>
  <si>
    <t>https://www.digikey.jp/ja/products/detail/rohm-semiconductor/SMLD12BN1WT86/9826162</t>
  </si>
  <si>
    <t>SMLD12BN1WT86</t>
  </si>
  <si>
    <t>D5</t>
  </si>
  <si>
    <t>PWR</t>
  </si>
  <si>
    <t>https://www.digikey.jp/ja/products/detail/rohm-semiconductor/SML-D12D8WT86/1641796</t>
  </si>
  <si>
    <t>SML-D12D8WT86</t>
  </si>
  <si>
    <t>D6</t>
  </si>
  <si>
    <t>BATT</t>
  </si>
  <si>
    <t>https://www.digikey.jp/ja/products/detail/rohm-semiconductor/SML-D12U8WT86/1641799</t>
  </si>
  <si>
    <t>SML-D12U8WT86</t>
  </si>
  <si>
    <t>D7,D12</t>
  </si>
  <si>
    <t>D_Schottky</t>
  </si>
  <si>
    <t>https://akizukidenshi.com/catalog/g/g101398/</t>
  </si>
  <si>
    <t>RB160M-30TR</t>
  </si>
  <si>
    <t>D13,D14,D16</t>
  </si>
  <si>
    <t>CAN_RX,CAN_TX,DATA</t>
  </si>
  <si>
    <t>https://www.digikey.jp/ja/products/detail/rohm-semiconductor/SML-D14MWT86A/9448204</t>
  </si>
  <si>
    <t>SML-D14MWT86A</t>
  </si>
  <si>
    <t>F1,F2</t>
  </si>
  <si>
    <t>Polyfuse</t>
  </si>
  <si>
    <t>https://akizukidenshi.com/catalog/g/g114311/</t>
  </si>
  <si>
    <t>MF-FSMF020X-2</t>
  </si>
  <si>
    <t>FB1</t>
  </si>
  <si>
    <t>FerriteBead</t>
  </si>
  <si>
    <t>https://www.digikey.jp/ja/products/detail/murata-electronics/BLM18KG601SN1D/1982766</t>
  </si>
  <si>
    <t>BLM18KG601SN1D</t>
  </si>
  <si>
    <t>J1</t>
  </si>
  <si>
    <t>CAN</t>
  </si>
  <si>
    <t>https://eleshop.jp/shop/g/g7AB411/</t>
  </si>
  <si>
    <t>JS-1200R-06</t>
  </si>
  <si>
    <t>J2</t>
  </si>
  <si>
    <t>ENC</t>
  </si>
  <si>
    <t>https://www.digikey.jp/ja/products/detail/jst-sales-america-inc/SM05B-PASS-TBT/2773428</t>
  </si>
  <si>
    <t>SM05B-PASS-TBT</t>
  </si>
  <si>
    <t>J3,J4</t>
  </si>
  <si>
    <t>SW1,SW2</t>
  </si>
  <si>
    <t>https://www.digikey.jp/ja/products/detail/jst-sales-america-inc/SM02B-PASS-TBT/1788574</t>
  </si>
  <si>
    <t>SM02B-PASS-TBT</t>
  </si>
  <si>
    <t>J5</t>
  </si>
  <si>
    <t>VIN</t>
  </si>
  <si>
    <t>https://akizukidenshi.com/catalog/g/g118156/</t>
  </si>
  <si>
    <t>XT60PW-M</t>
  </si>
  <si>
    <t>J6</t>
  </si>
  <si>
    <t>Motor</t>
  </si>
  <si>
    <t>https://akizukidenshi.com/catalog/g/g118155/</t>
  </si>
  <si>
    <t>XT60PW-F</t>
  </si>
  <si>
    <t>J7</t>
  </si>
  <si>
    <t>SWD</t>
  </si>
  <si>
    <t>https://www.digikey.jp/ja/products/detail/jst-sales-america-inc/SM04B-SRSS-TB/926710</t>
  </si>
  <si>
    <t>SM04B-SRSS-TB</t>
  </si>
  <si>
    <t>J8</t>
  </si>
  <si>
    <t>Debug</t>
  </si>
  <si>
    <t>https://akizukidenshi.com/catalog/g/g114356/</t>
  </si>
  <si>
    <t>5077CR-16-SMC2-BK-TR</t>
  </si>
  <si>
    <t>Q1,Q2</t>
  </si>
  <si>
    <t>Q_NMOS</t>
  </si>
  <si>
    <t>https://www.digikey.jp/ja/products/detail/vishay-siliconix/SQJQ906EL-T1-GE3/6708921</t>
  </si>
  <si>
    <t>SQJQ906EL-T1_GE3</t>
  </si>
  <si>
    <t>Q3</t>
  </si>
  <si>
    <t>Q_NMOS_GSD</t>
  </si>
  <si>
    <t>https://akizukidenshi.com/catalog/g/g104232/</t>
  </si>
  <si>
    <t>BSS138</t>
  </si>
  <si>
    <t>R1,R10,R22,R23</t>
  </si>
  <si>
    <t>https://www.digikey.jp/ja/products/detail/rohm-semiconductor/ESR03EZPJ431/4051257</t>
  </si>
  <si>
    <t>ESR03EZPJ431</t>
  </si>
  <si>
    <t>R2</t>
  </si>
  <si>
    <t>https://www.digikey.jp/ja/products/detail/rohm-semiconductor/ESR03EZPJ121/1983454</t>
  </si>
  <si>
    <t>ESR03EZPJ121</t>
  </si>
  <si>
    <t>R3,R31,R32,R35</t>
  </si>
  <si>
    <t>https://www.digikey.jp/ja/products/detail/rohm-semiconductor/ESR03EZPJ101/1983452</t>
  </si>
  <si>
    <t>ESR03EZPJ101</t>
  </si>
  <si>
    <t>R4</t>
  </si>
  <si>
    <t>https://www.digikey.jp/ja/products/detail/rohm-semiconductor/ESR03EZPF5900/20506305</t>
  </si>
  <si>
    <t>ESR03EZPF5900</t>
  </si>
  <si>
    <t>R5</t>
  </si>
  <si>
    <t>https://www.digikey.jp/ja/products/detail/rohm-semiconductor/ESR03EZPJ301/1762729</t>
  </si>
  <si>
    <t>ESR03EZPJ301</t>
  </si>
  <si>
    <t>R6,R7</t>
  </si>
  <si>
    <t>https://www.digikey.jp/ja/products/detail/rohm-semiconductor/ESR03EZPJ331/1762730</t>
  </si>
  <si>
    <t>ESR03EZPJ331</t>
  </si>
  <si>
    <t>R8,R9,R16,R17,R26,R27</t>
  </si>
  <si>
    <t>https://www.digikey.jp/ja/products/detail/rohm-semiconductor/ESR03EZPJ820/4051294</t>
  </si>
  <si>
    <t>ESR03EZPJ820</t>
  </si>
  <si>
    <t>R11,R18</t>
  </si>
  <si>
    <t>1.5k</t>
  </si>
  <si>
    <t>https://www.digikey.jp/ja/products/detail/rohm-semiconductor/ESR03EZPJ152/1983456</t>
  </si>
  <si>
    <t>ESR03EZPJ152</t>
  </si>
  <si>
    <t>R12</t>
  </si>
  <si>
    <t>13k</t>
  </si>
  <si>
    <t>https://www.digikey.jp/ja/products/detail/susumu/RG1608P-133-B-T5/1240478</t>
  </si>
  <si>
    <t>RG1608P-133-B-T5</t>
  </si>
  <si>
    <t>R13</t>
  </si>
  <si>
    <t>2.4k</t>
  </si>
  <si>
    <t>https://www.digikey.jp/ja/products/detail/susumu/RG1608P-242-B-T5/1240526</t>
  </si>
  <si>
    <t>RG1608P-242-B-T5</t>
  </si>
  <si>
    <t>R14</t>
  </si>
  <si>
    <t>18k</t>
  </si>
  <si>
    <t>https://www.digikey.jp/ja/products/detail/susumu/RG1608P-183-B-T5/1240502</t>
  </si>
  <si>
    <t>RG1608P-183-B-T5</t>
  </si>
  <si>
    <t>R15</t>
  </si>
  <si>
    <t>3k</t>
  </si>
  <si>
    <t>https://www.digikey.jp/ja/products/detail/susumu/RG1608P-302-B-T5/1240549</t>
  </si>
  <si>
    <t>RG1608P-302-B-T5</t>
  </si>
  <si>
    <t>R19,R20,R24,R25,R29,R30,R39,R40</t>
  </si>
  <si>
    <t>10k</t>
  </si>
  <si>
    <t>https://www.digikey.jp/ja/products/detail/rohm-semiconductor/ESR03EZPJ103/1762722</t>
  </si>
  <si>
    <t>ESR03EZPJ103</t>
  </si>
  <si>
    <t>R21</t>
  </si>
  <si>
    <t>3.7k</t>
  </si>
  <si>
    <t>https://www.digikey.jp/ja/products/detail/koa-speer-electronics-inc/RN73R1JTTD3701B25/10016282</t>
  </si>
  <si>
    <t>RN73R1JTTD3701B25</t>
  </si>
  <si>
    <t>R28</t>
  </si>
  <si>
    <t>1k</t>
  </si>
  <si>
    <t>https://www.digikey.jp/ja/products/detail/rohm-semiconductor/ESR03EZPJ102/1762721</t>
  </si>
  <si>
    <t>ESR03EZPJ102</t>
  </si>
  <si>
    <t>R33,R34</t>
  </si>
  <si>
    <t>5.1k</t>
  </si>
  <si>
    <t>https://www.digikey.jp/ja/products/detail/rohm-semiconductor/ESR03EZPJ512/1762735</t>
  </si>
  <si>
    <t>ESR03EZPJ512</t>
  </si>
  <si>
    <t>R36,R37</t>
  </si>
  <si>
    <t>https://www.digikey.jp/ja/products/detail/susumu/RR0816P-3480-D-53A/432510</t>
  </si>
  <si>
    <t>RR0816P-3480-D-53A</t>
  </si>
  <si>
    <t>R38</t>
  </si>
  <si>
    <t>https://www.digikey.jp/ja/products/detail/stackpole-electronics-inc/RMCF0603FT665R/1714186</t>
  </si>
  <si>
    <t>RMCF0603FT665R</t>
  </si>
  <si>
    <t>RV1,RV2</t>
  </si>
  <si>
    <t>https://www.digikey.jp/ja/products/detail/nidec-components-corporation/ST-4ETB103/738213</t>
  </si>
  <si>
    <t>ST-4ETB103</t>
  </si>
  <si>
    <t>SW1</t>
  </si>
  <si>
    <t>CAN_R</t>
  </si>
  <si>
    <t>https://www.digikey.jp/ja/products/detail/same-sky-formerly-cui-devices/SLW-913535-2A-SMT/21259974</t>
  </si>
  <si>
    <t>SLW-913535-2A-SMT</t>
  </si>
  <si>
    <t>SW2</t>
  </si>
  <si>
    <t>SW_Coded</t>
  </si>
  <si>
    <t>https://www.digikey.jp/ja/products/detail/same-sky-formerly-cui-devices/RDS-16S-1055-SMT-TR/12424507</t>
  </si>
  <si>
    <t>RDS-16S-1055-SMT-TR</t>
  </si>
  <si>
    <t>SW3</t>
  </si>
  <si>
    <t>RESET</t>
  </si>
  <si>
    <t>https://akizukidenshi.com/catalog/g/g114888/</t>
  </si>
  <si>
    <t>TVAF06-A020B-R</t>
  </si>
  <si>
    <t>U1</t>
  </si>
  <si>
    <t>LED_GRB</t>
  </si>
  <si>
    <t>https://www.digikey.jp/ja/products/detail/rohm-semiconductor/SMLVN6RGB1W1/5053781</t>
  </si>
  <si>
    <t>SMLVN6RGB1W1</t>
  </si>
  <si>
    <t>U2</t>
  </si>
  <si>
    <t>NJM7812SDL1</t>
  </si>
  <si>
    <t>https://akizukidenshi.com/catalog/g/g110978/</t>
  </si>
  <si>
    <t>U3</t>
  </si>
  <si>
    <t>TLV1117-33</t>
  </si>
  <si>
    <t>https://www.digikey.jp/ja/products/detail/texas-instruments/TLV1117-33CDCYR/1216718</t>
  </si>
  <si>
    <t>TLV1117-33CDCYR</t>
  </si>
  <si>
    <t>U4</t>
  </si>
  <si>
    <t>CZ-3A05</t>
  </si>
  <si>
    <t>https://www.digikey.jp/ja/products/detail/asahi-kasei-microdevices-akm/CZ3A05/11570592</t>
  </si>
  <si>
    <t>CZ3A05</t>
  </si>
  <si>
    <t>U5,U6</t>
  </si>
  <si>
    <t>IR2302</t>
  </si>
  <si>
    <t>https://akizukidenshi.com/catalog/g/g115656/</t>
  </si>
  <si>
    <t>IR2302STRPBF</t>
  </si>
  <si>
    <t>U7</t>
  </si>
  <si>
    <t>TLP293</t>
  </si>
  <si>
    <t>https://akizukidenshi.com/catalog/g/g116783/</t>
  </si>
  <si>
    <t>TLP293(BLL-TPL,E(T</t>
  </si>
  <si>
    <t>U8</t>
  </si>
  <si>
    <t>STM32F303K8Tx</t>
  </si>
  <si>
    <t>https://akizukidenshi.com/catalog/g/g110790/</t>
  </si>
  <si>
    <t>STM32F303K8T6</t>
  </si>
  <si>
    <t>U9</t>
  </si>
  <si>
    <t>MCP2561/2FD</t>
  </si>
  <si>
    <t>https://www.digikey.jp/ja/products/detail/microchip-technology/MCP2562FDT-E-SN/4860105</t>
  </si>
  <si>
    <t>MCP2562FDT-E/SN</t>
  </si>
  <si>
    <t>U10</t>
  </si>
  <si>
    <t>CH340E</t>
  </si>
  <si>
    <t>https://akizukidenshi.com/catalog/g/g113543/</t>
  </si>
  <si>
    <t>U11,U12</t>
  </si>
  <si>
    <t>TLP2348</t>
  </si>
  <si>
    <t>https://akizukidenshi.com/catalog/g/g118361/</t>
  </si>
  <si>
    <t>TLP2348(V4-TPL,E(T</t>
  </si>
  <si>
    <t>Y1</t>
  </si>
  <si>
    <t>Crystal_GND2</t>
  </si>
  <si>
    <t>https://www.digikey.jp/ja/products/detail/murata-electronics/XRCGB32M000F1SADR0/21662918</t>
  </si>
  <si>
    <t>XRCGB32M000F1SADR0</t>
  </si>
  <si>
    <t>Total</t>
    <phoneticPr fontId="18"/>
  </si>
  <si>
    <t>合計</t>
    <rPh sb="0" eb="2">
      <t>ゴウケイ</t>
    </rPh>
    <phoneticPr fontId="18"/>
  </si>
  <si>
    <t>実質</t>
    <rPh sb="0" eb="2">
      <t>ジッシツ</t>
    </rPh>
    <phoneticPr fontId="18"/>
  </si>
  <si>
    <t>円</t>
    <rPh sb="0" eb="1">
      <t>エン</t>
    </rPh>
    <phoneticPr fontId="18"/>
  </si>
  <si>
    <t>*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</si>
</sst>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AB02-9DEA-4BDD-9EA2-53F20DC11927}">
  <dimension ref="A1:H63"/>
  <sheetViews>
    <sheetView tabSelected="1" workbookViewId="0">
      <selection activeCell="I63" sqref="I63"/>
    </sheetView>
  </sheetViews>
  <sheetFormatPr defaultRowHeight="18.75" x14ac:dyDescent="0.4"/>
  <cols>
    <col min="3" max="3" width="36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228</v>
      </c>
    </row>
    <row r="2" spans="1:8" x14ac:dyDescent="0.4">
      <c r="A2" t="s">
        <v>6</v>
      </c>
      <c r="B2" t="s">
        <v>7</v>
      </c>
      <c r="C2" t="s">
        <v>8</v>
      </c>
      <c r="D2" t="s">
        <v>9</v>
      </c>
      <c r="E2">
        <v>37</v>
      </c>
      <c r="F2">
        <v>1</v>
      </c>
      <c r="G2">
        <f>E2*F2</f>
        <v>37</v>
      </c>
    </row>
    <row r="3" spans="1:8" x14ac:dyDescent="0.4">
      <c r="A3" t="s">
        <v>10</v>
      </c>
      <c r="B3" t="s">
        <v>11</v>
      </c>
      <c r="C3" t="s">
        <v>12</v>
      </c>
      <c r="D3" t="s">
        <v>13</v>
      </c>
      <c r="E3">
        <v>27</v>
      </c>
      <c r="F3">
        <v>1</v>
      </c>
      <c r="G3">
        <f t="shared" ref="G3:G60" si="0">E3*F3</f>
        <v>27</v>
      </c>
      <c r="H3" t="s">
        <v>232</v>
      </c>
    </row>
    <row r="4" spans="1:8" x14ac:dyDescent="0.4">
      <c r="A4" t="s">
        <v>14</v>
      </c>
      <c r="B4" t="s">
        <v>15</v>
      </c>
      <c r="C4" t="s">
        <v>16</v>
      </c>
      <c r="D4" t="s">
        <v>17</v>
      </c>
      <c r="E4">
        <v>34</v>
      </c>
      <c r="F4">
        <v>12</v>
      </c>
      <c r="G4">
        <f t="shared" si="0"/>
        <v>408</v>
      </c>
      <c r="H4" t="s">
        <v>232</v>
      </c>
    </row>
    <row r="5" spans="1:8" x14ac:dyDescent="0.4">
      <c r="A5" t="s">
        <v>18</v>
      </c>
      <c r="B5" t="s">
        <v>11</v>
      </c>
      <c r="C5" t="s">
        <v>19</v>
      </c>
      <c r="D5" t="s">
        <v>20</v>
      </c>
      <c r="E5">
        <v>18</v>
      </c>
      <c r="F5">
        <v>2</v>
      </c>
      <c r="G5">
        <f t="shared" si="0"/>
        <v>36</v>
      </c>
      <c r="H5" t="s">
        <v>232</v>
      </c>
    </row>
    <row r="6" spans="1:8" x14ac:dyDescent="0.4">
      <c r="A6" t="s">
        <v>21</v>
      </c>
      <c r="B6" t="s">
        <v>22</v>
      </c>
      <c r="C6" t="s">
        <v>23</v>
      </c>
      <c r="D6" t="s">
        <v>24</v>
      </c>
      <c r="E6">
        <v>40</v>
      </c>
      <c r="F6">
        <v>2</v>
      </c>
      <c r="G6">
        <f t="shared" si="0"/>
        <v>80</v>
      </c>
    </row>
    <row r="7" spans="1:8" x14ac:dyDescent="0.4">
      <c r="A7" t="s">
        <v>25</v>
      </c>
      <c r="B7" t="s">
        <v>26</v>
      </c>
      <c r="C7" t="s">
        <v>27</v>
      </c>
      <c r="D7">
        <v>885012006029</v>
      </c>
      <c r="E7">
        <v>15</v>
      </c>
      <c r="F7">
        <v>3</v>
      </c>
      <c r="G7">
        <f t="shared" si="0"/>
        <v>45</v>
      </c>
    </row>
    <row r="8" spans="1:8" x14ac:dyDescent="0.4">
      <c r="A8" t="s">
        <v>28</v>
      </c>
      <c r="B8" t="s">
        <v>29</v>
      </c>
      <c r="C8" t="s">
        <v>30</v>
      </c>
      <c r="D8" t="s">
        <v>31</v>
      </c>
      <c r="E8">
        <v>90</v>
      </c>
      <c r="F8">
        <v>2</v>
      </c>
      <c r="G8">
        <f t="shared" si="0"/>
        <v>180</v>
      </c>
    </row>
    <row r="9" spans="1:8" x14ac:dyDescent="0.4">
      <c r="A9" t="s">
        <v>32</v>
      </c>
      <c r="B9" t="s">
        <v>33</v>
      </c>
      <c r="C9" t="s">
        <v>34</v>
      </c>
      <c r="D9" t="s">
        <v>35</v>
      </c>
      <c r="E9">
        <v>15</v>
      </c>
      <c r="F9">
        <v>2</v>
      </c>
      <c r="G9">
        <f t="shared" si="0"/>
        <v>30</v>
      </c>
      <c r="H9" t="s">
        <v>232</v>
      </c>
    </row>
    <row r="10" spans="1:8" x14ac:dyDescent="0.4">
      <c r="A10" t="s">
        <v>36</v>
      </c>
      <c r="B10" t="s">
        <v>37</v>
      </c>
      <c r="C10" t="s">
        <v>38</v>
      </c>
      <c r="D10" t="s">
        <v>39</v>
      </c>
      <c r="E10">
        <v>44</v>
      </c>
      <c r="F10">
        <v>1</v>
      </c>
      <c r="G10">
        <f t="shared" si="0"/>
        <v>44</v>
      </c>
      <c r="H10" t="s">
        <v>232</v>
      </c>
    </row>
    <row r="11" spans="1:8" x14ac:dyDescent="0.4">
      <c r="A11" t="s">
        <v>40</v>
      </c>
      <c r="B11" t="s">
        <v>41</v>
      </c>
      <c r="C11" t="s">
        <v>42</v>
      </c>
      <c r="D11" t="s">
        <v>43</v>
      </c>
      <c r="E11">
        <v>29</v>
      </c>
      <c r="F11">
        <v>2</v>
      </c>
      <c r="G11">
        <f t="shared" si="0"/>
        <v>58</v>
      </c>
      <c r="H11" t="s">
        <v>232</v>
      </c>
    </row>
    <row r="12" spans="1:8" x14ac:dyDescent="0.4">
      <c r="A12" t="s">
        <v>44</v>
      </c>
      <c r="B12" t="s">
        <v>45</v>
      </c>
      <c r="C12" t="s">
        <v>46</v>
      </c>
      <c r="D12" t="s">
        <v>47</v>
      </c>
      <c r="E12">
        <v>47</v>
      </c>
      <c r="F12">
        <v>7</v>
      </c>
      <c r="G12">
        <f t="shared" si="0"/>
        <v>329</v>
      </c>
      <c r="H12" t="s">
        <v>232</v>
      </c>
    </row>
    <row r="13" spans="1:8" x14ac:dyDescent="0.4">
      <c r="A13" t="s">
        <v>48</v>
      </c>
      <c r="B13" t="s">
        <v>49</v>
      </c>
      <c r="C13" t="s">
        <v>50</v>
      </c>
      <c r="D13" t="s">
        <v>51</v>
      </c>
      <c r="E13">
        <v>29</v>
      </c>
      <c r="F13">
        <v>1</v>
      </c>
      <c r="G13">
        <f t="shared" si="0"/>
        <v>29</v>
      </c>
      <c r="H13" t="s">
        <v>232</v>
      </c>
    </row>
    <row r="14" spans="1:8" x14ac:dyDescent="0.4">
      <c r="A14" t="s">
        <v>52</v>
      </c>
      <c r="B14" t="s">
        <v>53</v>
      </c>
      <c r="C14" t="s">
        <v>54</v>
      </c>
      <c r="D14" t="s">
        <v>55</v>
      </c>
      <c r="E14">
        <v>29</v>
      </c>
      <c r="F14">
        <v>1</v>
      </c>
      <c r="G14">
        <f t="shared" si="0"/>
        <v>29</v>
      </c>
      <c r="H14" t="s">
        <v>232</v>
      </c>
    </row>
    <row r="15" spans="1:8" x14ac:dyDescent="0.4">
      <c r="A15" t="s">
        <v>56</v>
      </c>
      <c r="B15" t="s">
        <v>57</v>
      </c>
      <c r="C15" t="s">
        <v>58</v>
      </c>
      <c r="D15" t="s">
        <v>59</v>
      </c>
      <c r="E15">
        <v>15</v>
      </c>
      <c r="F15">
        <v>2</v>
      </c>
      <c r="G15">
        <f t="shared" si="0"/>
        <v>30</v>
      </c>
    </row>
    <row r="16" spans="1:8" x14ac:dyDescent="0.4">
      <c r="A16" t="s">
        <v>60</v>
      </c>
      <c r="B16" t="s">
        <v>61</v>
      </c>
      <c r="C16" t="s">
        <v>62</v>
      </c>
      <c r="D16" t="s">
        <v>63</v>
      </c>
      <c r="E16">
        <v>52</v>
      </c>
      <c r="F16">
        <v>3</v>
      </c>
      <c r="G16">
        <f t="shared" si="0"/>
        <v>156</v>
      </c>
      <c r="H16" t="s">
        <v>232</v>
      </c>
    </row>
    <row r="17" spans="1:8" x14ac:dyDescent="0.4">
      <c r="A17" t="s">
        <v>64</v>
      </c>
      <c r="B17" t="s">
        <v>65</v>
      </c>
      <c r="C17" t="s">
        <v>66</v>
      </c>
      <c r="D17" t="s">
        <v>67</v>
      </c>
      <c r="E17">
        <v>20</v>
      </c>
      <c r="F17">
        <v>2</v>
      </c>
      <c r="G17">
        <f t="shared" si="0"/>
        <v>40</v>
      </c>
    </row>
    <row r="18" spans="1:8" x14ac:dyDescent="0.4">
      <c r="A18" t="s">
        <v>68</v>
      </c>
      <c r="B18" t="s">
        <v>69</v>
      </c>
      <c r="C18" t="s">
        <v>70</v>
      </c>
      <c r="D18" t="s">
        <v>71</v>
      </c>
      <c r="E18">
        <v>15</v>
      </c>
      <c r="F18">
        <v>1</v>
      </c>
      <c r="G18">
        <f t="shared" si="0"/>
        <v>15</v>
      </c>
    </row>
    <row r="19" spans="1:8" x14ac:dyDescent="0.4">
      <c r="A19" t="s">
        <v>72</v>
      </c>
      <c r="B19" t="s">
        <v>73</v>
      </c>
      <c r="C19" t="s">
        <v>74</v>
      </c>
      <c r="D19" t="s">
        <v>75</v>
      </c>
      <c r="E19">
        <v>62</v>
      </c>
      <c r="F19">
        <v>1</v>
      </c>
      <c r="G19">
        <f t="shared" si="0"/>
        <v>62</v>
      </c>
    </row>
    <row r="20" spans="1:8" x14ac:dyDescent="0.4">
      <c r="A20" t="s">
        <v>76</v>
      </c>
      <c r="B20" t="s">
        <v>77</v>
      </c>
      <c r="C20" t="s">
        <v>78</v>
      </c>
      <c r="D20" t="s">
        <v>79</v>
      </c>
      <c r="E20">
        <v>116</v>
      </c>
      <c r="F20">
        <v>1</v>
      </c>
      <c r="G20">
        <f t="shared" si="0"/>
        <v>116</v>
      </c>
    </row>
    <row r="21" spans="1:8" x14ac:dyDescent="0.4">
      <c r="A21" t="s">
        <v>80</v>
      </c>
      <c r="B21" t="s">
        <v>81</v>
      </c>
      <c r="C21" t="s">
        <v>82</v>
      </c>
      <c r="D21" t="s">
        <v>83</v>
      </c>
      <c r="E21">
        <v>84</v>
      </c>
      <c r="F21">
        <v>2</v>
      </c>
      <c r="G21">
        <f t="shared" si="0"/>
        <v>168</v>
      </c>
    </row>
    <row r="22" spans="1:8" x14ac:dyDescent="0.4">
      <c r="A22" t="s">
        <v>84</v>
      </c>
      <c r="B22" t="s">
        <v>85</v>
      </c>
      <c r="C22" t="s">
        <v>86</v>
      </c>
      <c r="D22" t="s">
        <v>87</v>
      </c>
      <c r="E22">
        <v>100</v>
      </c>
      <c r="F22">
        <v>1</v>
      </c>
      <c r="G22">
        <f t="shared" si="0"/>
        <v>100</v>
      </c>
    </row>
    <row r="23" spans="1:8" x14ac:dyDescent="0.4">
      <c r="A23" t="s">
        <v>88</v>
      </c>
      <c r="B23" t="s">
        <v>89</v>
      </c>
      <c r="C23" t="s">
        <v>90</v>
      </c>
      <c r="D23" t="s">
        <v>91</v>
      </c>
      <c r="E23">
        <v>100</v>
      </c>
      <c r="F23">
        <v>1</v>
      </c>
      <c r="G23">
        <f t="shared" si="0"/>
        <v>100</v>
      </c>
    </row>
    <row r="24" spans="1:8" x14ac:dyDescent="0.4">
      <c r="A24" t="s">
        <v>92</v>
      </c>
      <c r="B24" t="s">
        <v>93</v>
      </c>
      <c r="C24" t="s">
        <v>94</v>
      </c>
      <c r="D24" t="s">
        <v>95</v>
      </c>
      <c r="E24">
        <v>76</v>
      </c>
      <c r="F24">
        <v>1</v>
      </c>
      <c r="G24">
        <f t="shared" si="0"/>
        <v>76</v>
      </c>
      <c r="H24" t="s">
        <v>232</v>
      </c>
    </row>
    <row r="25" spans="1:8" x14ac:dyDescent="0.4">
      <c r="A25" t="s">
        <v>96</v>
      </c>
      <c r="B25" t="s">
        <v>97</v>
      </c>
      <c r="C25" t="s">
        <v>98</v>
      </c>
      <c r="D25" t="s">
        <v>99</v>
      </c>
      <c r="E25">
        <v>110</v>
      </c>
      <c r="F25">
        <v>1</v>
      </c>
      <c r="G25">
        <f t="shared" si="0"/>
        <v>110</v>
      </c>
    </row>
    <row r="26" spans="1:8" x14ac:dyDescent="0.4">
      <c r="A26" t="s">
        <v>100</v>
      </c>
      <c r="B26" t="s">
        <v>101</v>
      </c>
      <c r="C26" t="s">
        <v>102</v>
      </c>
      <c r="D26" t="s">
        <v>103</v>
      </c>
      <c r="E26">
        <v>442</v>
      </c>
      <c r="F26">
        <v>2</v>
      </c>
      <c r="G26">
        <f t="shared" si="0"/>
        <v>884</v>
      </c>
    </row>
    <row r="27" spans="1:8" x14ac:dyDescent="0.4">
      <c r="A27" t="s">
        <v>104</v>
      </c>
      <c r="B27" t="s">
        <v>105</v>
      </c>
      <c r="C27" t="s">
        <v>106</v>
      </c>
      <c r="D27" t="s">
        <v>107</v>
      </c>
      <c r="E27">
        <v>4</v>
      </c>
      <c r="F27">
        <v>1</v>
      </c>
      <c r="G27">
        <f t="shared" si="0"/>
        <v>4</v>
      </c>
    </row>
    <row r="28" spans="1:8" x14ac:dyDescent="0.4">
      <c r="A28" t="s">
        <v>108</v>
      </c>
      <c r="B28" s="1">
        <v>420430</v>
      </c>
      <c r="C28" t="s">
        <v>109</v>
      </c>
      <c r="D28" t="s">
        <v>110</v>
      </c>
      <c r="E28">
        <v>22</v>
      </c>
      <c r="F28">
        <v>4</v>
      </c>
      <c r="G28">
        <f t="shared" si="0"/>
        <v>88</v>
      </c>
    </row>
    <row r="29" spans="1:8" x14ac:dyDescent="0.4">
      <c r="A29" t="s">
        <v>111</v>
      </c>
      <c r="B29">
        <v>120</v>
      </c>
      <c r="C29" t="s">
        <v>112</v>
      </c>
      <c r="D29" t="s">
        <v>113</v>
      </c>
      <c r="E29">
        <v>22</v>
      </c>
      <c r="F29">
        <v>1</v>
      </c>
      <c r="G29">
        <f t="shared" si="0"/>
        <v>22</v>
      </c>
    </row>
    <row r="30" spans="1:8" x14ac:dyDescent="0.4">
      <c r="A30" t="s">
        <v>114</v>
      </c>
      <c r="B30">
        <v>100</v>
      </c>
      <c r="C30" t="s">
        <v>115</v>
      </c>
      <c r="D30" t="s">
        <v>116</v>
      </c>
      <c r="E30">
        <v>22</v>
      </c>
      <c r="F30">
        <v>4</v>
      </c>
      <c r="G30">
        <f t="shared" si="0"/>
        <v>88</v>
      </c>
    </row>
    <row r="31" spans="1:8" x14ac:dyDescent="0.4">
      <c r="A31" t="s">
        <v>117</v>
      </c>
      <c r="B31">
        <v>600</v>
      </c>
      <c r="C31" t="s">
        <v>118</v>
      </c>
      <c r="D31" t="s">
        <v>119</v>
      </c>
      <c r="E31">
        <v>22</v>
      </c>
      <c r="F31">
        <v>1</v>
      </c>
      <c r="G31">
        <f t="shared" si="0"/>
        <v>22</v>
      </c>
    </row>
    <row r="32" spans="1:8" x14ac:dyDescent="0.4">
      <c r="A32" t="s">
        <v>120</v>
      </c>
      <c r="B32">
        <v>300</v>
      </c>
      <c r="C32" t="s">
        <v>121</v>
      </c>
      <c r="D32" t="s">
        <v>122</v>
      </c>
      <c r="E32">
        <v>22</v>
      </c>
      <c r="F32">
        <v>1</v>
      </c>
      <c r="G32">
        <f t="shared" si="0"/>
        <v>22</v>
      </c>
    </row>
    <row r="33" spans="1:7" x14ac:dyDescent="0.4">
      <c r="A33" t="s">
        <v>123</v>
      </c>
      <c r="B33">
        <v>330</v>
      </c>
      <c r="C33" t="s">
        <v>124</v>
      </c>
      <c r="D33" t="s">
        <v>125</v>
      </c>
      <c r="E33">
        <v>22</v>
      </c>
      <c r="F33">
        <v>2</v>
      </c>
      <c r="G33">
        <f t="shared" si="0"/>
        <v>44</v>
      </c>
    </row>
    <row r="34" spans="1:7" x14ac:dyDescent="0.4">
      <c r="A34" t="s">
        <v>126</v>
      </c>
      <c r="B34">
        <v>80</v>
      </c>
      <c r="C34" t="s">
        <v>127</v>
      </c>
      <c r="D34" t="s">
        <v>128</v>
      </c>
      <c r="E34">
        <v>22</v>
      </c>
      <c r="F34">
        <v>6</v>
      </c>
      <c r="G34">
        <f t="shared" si="0"/>
        <v>132</v>
      </c>
    </row>
    <row r="35" spans="1:7" x14ac:dyDescent="0.4">
      <c r="A35" t="s">
        <v>129</v>
      </c>
      <c r="B35" t="s">
        <v>130</v>
      </c>
      <c r="C35" t="s">
        <v>131</v>
      </c>
      <c r="D35" t="s">
        <v>132</v>
      </c>
      <c r="E35">
        <v>22</v>
      </c>
      <c r="F35">
        <v>2</v>
      </c>
      <c r="G35">
        <f t="shared" si="0"/>
        <v>44</v>
      </c>
    </row>
    <row r="36" spans="1:7" x14ac:dyDescent="0.4">
      <c r="A36" t="s">
        <v>133</v>
      </c>
      <c r="B36" t="s">
        <v>134</v>
      </c>
      <c r="C36" t="s">
        <v>135</v>
      </c>
      <c r="D36" t="s">
        <v>136</v>
      </c>
      <c r="E36">
        <v>15</v>
      </c>
      <c r="F36">
        <v>1</v>
      </c>
      <c r="G36">
        <f t="shared" si="0"/>
        <v>15</v>
      </c>
    </row>
    <row r="37" spans="1:7" x14ac:dyDescent="0.4">
      <c r="A37" t="s">
        <v>137</v>
      </c>
      <c r="B37" t="s">
        <v>138</v>
      </c>
      <c r="C37" t="s">
        <v>139</v>
      </c>
      <c r="D37" t="s">
        <v>140</v>
      </c>
      <c r="E37">
        <v>18</v>
      </c>
      <c r="F37">
        <v>1</v>
      </c>
      <c r="G37">
        <f t="shared" si="0"/>
        <v>18</v>
      </c>
    </row>
    <row r="38" spans="1:7" x14ac:dyDescent="0.4">
      <c r="A38" t="s">
        <v>141</v>
      </c>
      <c r="B38" t="s">
        <v>142</v>
      </c>
      <c r="C38" t="s">
        <v>143</v>
      </c>
      <c r="D38" t="s">
        <v>144</v>
      </c>
      <c r="E38">
        <v>15</v>
      </c>
      <c r="F38">
        <v>1</v>
      </c>
      <c r="G38">
        <f t="shared" si="0"/>
        <v>15</v>
      </c>
    </row>
    <row r="39" spans="1:7" x14ac:dyDescent="0.4">
      <c r="A39" t="s">
        <v>145</v>
      </c>
      <c r="B39" t="s">
        <v>146</v>
      </c>
      <c r="C39" t="s">
        <v>147</v>
      </c>
      <c r="D39" t="s">
        <v>148</v>
      </c>
      <c r="E39">
        <v>15</v>
      </c>
      <c r="F39">
        <v>1</v>
      </c>
      <c r="G39">
        <f t="shared" si="0"/>
        <v>15</v>
      </c>
    </row>
    <row r="40" spans="1:7" x14ac:dyDescent="0.4">
      <c r="A40" t="s">
        <v>149</v>
      </c>
      <c r="B40" t="s">
        <v>150</v>
      </c>
      <c r="C40" t="s">
        <v>151</v>
      </c>
      <c r="D40" t="s">
        <v>152</v>
      </c>
      <c r="E40">
        <v>22</v>
      </c>
      <c r="F40">
        <v>8</v>
      </c>
      <c r="G40">
        <f t="shared" si="0"/>
        <v>176</v>
      </c>
    </row>
    <row r="41" spans="1:7" x14ac:dyDescent="0.4">
      <c r="A41" t="s">
        <v>153</v>
      </c>
      <c r="B41" t="s">
        <v>154</v>
      </c>
      <c r="C41" t="s">
        <v>155</v>
      </c>
      <c r="D41" t="s">
        <v>156</v>
      </c>
      <c r="E41">
        <v>15</v>
      </c>
      <c r="F41">
        <v>1</v>
      </c>
      <c r="G41">
        <f t="shared" si="0"/>
        <v>15</v>
      </c>
    </row>
    <row r="42" spans="1:7" x14ac:dyDescent="0.4">
      <c r="A42" t="s">
        <v>157</v>
      </c>
      <c r="B42" t="s">
        <v>158</v>
      </c>
      <c r="C42" t="s">
        <v>159</v>
      </c>
      <c r="D42" t="s">
        <v>160</v>
      </c>
      <c r="E42">
        <v>22</v>
      </c>
      <c r="F42">
        <v>1</v>
      </c>
      <c r="G42">
        <f t="shared" si="0"/>
        <v>22</v>
      </c>
    </row>
    <row r="43" spans="1:7" x14ac:dyDescent="0.4">
      <c r="A43" t="s">
        <v>161</v>
      </c>
      <c r="B43" t="s">
        <v>162</v>
      </c>
      <c r="C43" t="s">
        <v>163</v>
      </c>
      <c r="D43" t="s">
        <v>164</v>
      </c>
      <c r="E43">
        <v>22</v>
      </c>
      <c r="F43">
        <v>2</v>
      </c>
      <c r="G43">
        <f t="shared" si="0"/>
        <v>44</v>
      </c>
    </row>
    <row r="44" spans="1:7" x14ac:dyDescent="0.4">
      <c r="A44" t="s">
        <v>165</v>
      </c>
      <c r="B44">
        <v>350</v>
      </c>
      <c r="C44" t="s">
        <v>166</v>
      </c>
      <c r="D44" t="s">
        <v>167</v>
      </c>
      <c r="E44">
        <v>15</v>
      </c>
      <c r="F44">
        <v>2</v>
      </c>
      <c r="G44">
        <f t="shared" si="0"/>
        <v>30</v>
      </c>
    </row>
    <row r="45" spans="1:7" x14ac:dyDescent="0.4">
      <c r="A45" t="s">
        <v>168</v>
      </c>
      <c r="B45">
        <v>660</v>
      </c>
      <c r="C45" t="s">
        <v>169</v>
      </c>
      <c r="D45" t="s">
        <v>170</v>
      </c>
      <c r="E45">
        <v>15</v>
      </c>
      <c r="F45">
        <v>1</v>
      </c>
      <c r="G45">
        <f t="shared" si="0"/>
        <v>15</v>
      </c>
    </row>
    <row r="46" spans="1:7" x14ac:dyDescent="0.4">
      <c r="A46" t="s">
        <v>171</v>
      </c>
      <c r="B46" t="s">
        <v>150</v>
      </c>
      <c r="C46" t="s">
        <v>172</v>
      </c>
      <c r="D46" t="s">
        <v>173</v>
      </c>
      <c r="E46">
        <v>233</v>
      </c>
      <c r="F46">
        <v>2</v>
      </c>
      <c r="G46">
        <f t="shared" si="0"/>
        <v>466</v>
      </c>
    </row>
    <row r="47" spans="1:7" x14ac:dyDescent="0.4">
      <c r="A47" t="s">
        <v>174</v>
      </c>
      <c r="B47" t="s">
        <v>175</v>
      </c>
      <c r="C47" t="s">
        <v>176</v>
      </c>
      <c r="D47" t="s">
        <v>177</v>
      </c>
      <c r="E47">
        <v>87</v>
      </c>
      <c r="F47">
        <v>1</v>
      </c>
      <c r="G47">
        <f t="shared" si="0"/>
        <v>87</v>
      </c>
    </row>
    <row r="48" spans="1:7" x14ac:dyDescent="0.4">
      <c r="A48" t="s">
        <v>178</v>
      </c>
      <c r="B48" t="s">
        <v>179</v>
      </c>
      <c r="C48" t="s">
        <v>180</v>
      </c>
      <c r="D48" t="s">
        <v>181</v>
      </c>
      <c r="E48">
        <v>458</v>
      </c>
      <c r="F48">
        <v>1</v>
      </c>
      <c r="G48">
        <f t="shared" si="0"/>
        <v>458</v>
      </c>
    </row>
    <row r="49" spans="1:8" x14ac:dyDescent="0.4">
      <c r="A49" t="s">
        <v>182</v>
      </c>
      <c r="B49" t="s">
        <v>183</v>
      </c>
      <c r="C49" t="s">
        <v>184</v>
      </c>
      <c r="D49" t="s">
        <v>185</v>
      </c>
      <c r="E49">
        <v>22</v>
      </c>
      <c r="F49">
        <v>1</v>
      </c>
      <c r="G49">
        <f t="shared" si="0"/>
        <v>22</v>
      </c>
    </row>
    <row r="50" spans="1:8" x14ac:dyDescent="0.4">
      <c r="A50" t="s">
        <v>186</v>
      </c>
      <c r="B50" t="s">
        <v>187</v>
      </c>
      <c r="C50" t="s">
        <v>188</v>
      </c>
      <c r="D50" t="s">
        <v>189</v>
      </c>
      <c r="E50">
        <v>244</v>
      </c>
      <c r="F50">
        <v>1</v>
      </c>
      <c r="G50">
        <f t="shared" si="0"/>
        <v>244</v>
      </c>
    </row>
    <row r="51" spans="1:8" x14ac:dyDescent="0.4">
      <c r="A51" t="s">
        <v>190</v>
      </c>
      <c r="B51" t="s">
        <v>191</v>
      </c>
      <c r="C51" t="s">
        <v>192</v>
      </c>
      <c r="D51" t="s">
        <v>191</v>
      </c>
      <c r="E51">
        <v>50</v>
      </c>
      <c r="F51">
        <v>1</v>
      </c>
      <c r="G51">
        <f t="shared" si="0"/>
        <v>50</v>
      </c>
    </row>
    <row r="52" spans="1:8" x14ac:dyDescent="0.4">
      <c r="A52" t="s">
        <v>193</v>
      </c>
      <c r="B52" t="s">
        <v>194</v>
      </c>
      <c r="C52" t="s">
        <v>195</v>
      </c>
      <c r="D52" t="s">
        <v>196</v>
      </c>
      <c r="E52">
        <v>63</v>
      </c>
      <c r="F52">
        <v>1</v>
      </c>
      <c r="G52">
        <f t="shared" si="0"/>
        <v>63</v>
      </c>
    </row>
    <row r="53" spans="1:8" x14ac:dyDescent="0.4">
      <c r="A53" t="s">
        <v>197</v>
      </c>
      <c r="B53" t="s">
        <v>198</v>
      </c>
      <c r="C53" t="s">
        <v>199</v>
      </c>
      <c r="D53" t="s">
        <v>200</v>
      </c>
      <c r="E53">
        <v>897</v>
      </c>
      <c r="F53">
        <v>1</v>
      </c>
      <c r="G53">
        <f t="shared" si="0"/>
        <v>897</v>
      </c>
    </row>
    <row r="54" spans="1:8" x14ac:dyDescent="0.4">
      <c r="A54" t="s">
        <v>201</v>
      </c>
      <c r="B54" t="s">
        <v>202</v>
      </c>
      <c r="C54" t="s">
        <v>203</v>
      </c>
      <c r="D54" t="s">
        <v>204</v>
      </c>
      <c r="E54">
        <v>260</v>
      </c>
      <c r="F54">
        <v>2</v>
      </c>
      <c r="G54">
        <f t="shared" si="0"/>
        <v>520</v>
      </c>
    </row>
    <row r="55" spans="1:8" x14ac:dyDescent="0.4">
      <c r="A55" t="s">
        <v>205</v>
      </c>
      <c r="B55" t="s">
        <v>206</v>
      </c>
      <c r="C55" t="s">
        <v>207</v>
      </c>
      <c r="D55" t="s">
        <v>208</v>
      </c>
      <c r="E55">
        <v>24</v>
      </c>
      <c r="F55">
        <v>1</v>
      </c>
      <c r="G55">
        <f t="shared" si="0"/>
        <v>24</v>
      </c>
    </row>
    <row r="56" spans="1:8" x14ac:dyDescent="0.4">
      <c r="A56" t="s">
        <v>209</v>
      </c>
      <c r="B56" t="s">
        <v>210</v>
      </c>
      <c r="C56" t="s">
        <v>211</v>
      </c>
      <c r="D56" t="s">
        <v>212</v>
      </c>
      <c r="E56">
        <v>780</v>
      </c>
      <c r="F56">
        <v>1</v>
      </c>
      <c r="G56">
        <f t="shared" si="0"/>
        <v>780</v>
      </c>
    </row>
    <row r="57" spans="1:8" x14ac:dyDescent="0.4">
      <c r="A57" t="s">
        <v>213</v>
      </c>
      <c r="B57" t="s">
        <v>214</v>
      </c>
      <c r="C57" t="s">
        <v>215</v>
      </c>
      <c r="D57" t="s">
        <v>216</v>
      </c>
      <c r="E57">
        <v>202</v>
      </c>
      <c r="F57">
        <v>1</v>
      </c>
      <c r="G57">
        <f t="shared" si="0"/>
        <v>202</v>
      </c>
    </row>
    <row r="58" spans="1:8" x14ac:dyDescent="0.4">
      <c r="A58" t="s">
        <v>217</v>
      </c>
      <c r="B58" t="s">
        <v>218</v>
      </c>
      <c r="C58" t="s">
        <v>219</v>
      </c>
      <c r="D58" t="s">
        <v>218</v>
      </c>
      <c r="E58">
        <v>90</v>
      </c>
      <c r="F58">
        <v>1</v>
      </c>
      <c r="G58">
        <f t="shared" si="0"/>
        <v>90</v>
      </c>
    </row>
    <row r="59" spans="1:8" x14ac:dyDescent="0.4">
      <c r="A59" t="s">
        <v>220</v>
      </c>
      <c r="B59" t="s">
        <v>221</v>
      </c>
      <c r="C59" t="s">
        <v>222</v>
      </c>
      <c r="D59" t="s">
        <v>223</v>
      </c>
      <c r="E59">
        <v>80</v>
      </c>
      <c r="F59">
        <v>2</v>
      </c>
      <c r="G59">
        <f t="shared" si="0"/>
        <v>160</v>
      </c>
    </row>
    <row r="60" spans="1:8" x14ac:dyDescent="0.4">
      <c r="A60" t="s">
        <v>224</v>
      </c>
      <c r="B60" t="s">
        <v>225</v>
      </c>
      <c r="C60" t="s">
        <v>226</v>
      </c>
      <c r="D60" t="s">
        <v>227</v>
      </c>
      <c r="E60">
        <v>52</v>
      </c>
      <c r="F60">
        <v>1</v>
      </c>
      <c r="G60">
        <f t="shared" si="0"/>
        <v>52</v>
      </c>
    </row>
    <row r="62" spans="1:8" x14ac:dyDescent="0.4">
      <c r="F62" s="2" t="s">
        <v>229</v>
      </c>
      <c r="G62">
        <f>SUM(G2:G60)</f>
        <v>8135</v>
      </c>
      <c r="H62" t="s">
        <v>231</v>
      </c>
    </row>
    <row r="63" spans="1:8" x14ac:dyDescent="0.4">
      <c r="F63" s="2" t="s">
        <v>230</v>
      </c>
      <c r="G63">
        <f>G62-G56-G53-G23-G22</f>
        <v>6258</v>
      </c>
      <c r="H63" t="s">
        <v>231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MotorDriver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2025-07-11T03:00:53Z</dcterms:created>
  <dcterms:modified xsi:type="dcterms:W3CDTF">2025-07-11T06:59:13Z</dcterms:modified>
</cp:coreProperties>
</file>