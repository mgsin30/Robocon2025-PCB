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MotorDriver\"/>
    </mc:Choice>
  </mc:AlternateContent>
  <xr:revisionPtr revIDLastSave="0" documentId="13_ncr:1_{87AE003C-B6D0-44AF-B61A-002B7D789962}" xr6:coauthVersionLast="47" xr6:coauthVersionMax="47" xr10:uidLastSave="{00000000-0000-0000-0000-000000000000}"/>
  <bookViews>
    <workbookView xWindow="30" yWindow="2190" windowWidth="23895" windowHeight="11250" xr2:uid="{137E2852-2630-4F85-ABFC-865BD6F32B26}"/>
  </bookViews>
  <sheets>
    <sheet name="MotorDriver" sheetId="1" r:id="rId1"/>
  </sheets>
  <definedNames>
    <definedName name="_xlnm._FilterDatabase" localSheetId="0" hidden="1">MotorDriver!$A$1:$H$24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  <c r="H26" i="1" l="1"/>
</calcChain>
</file>

<file path=xl/sharedStrings.xml><?xml version="1.0" encoding="utf-8"?>
<sst xmlns="http://schemas.openxmlformats.org/spreadsheetml/2006/main" count="118" uniqueCount="103">
  <si>
    <t>Reference</t>
  </si>
  <si>
    <t>Value</t>
  </si>
  <si>
    <t>Footprint</t>
  </si>
  <si>
    <t>Qty</t>
  </si>
  <si>
    <t>URL</t>
  </si>
  <si>
    <t>Name</t>
  </si>
  <si>
    <t>Price</t>
  </si>
  <si>
    <t>C1,C2</t>
  </si>
  <si>
    <t>Capacitor_SMD:C_0603_1608Metric</t>
  </si>
  <si>
    <t>C3,C4,C5,C7,C8,C9</t>
  </si>
  <si>
    <t>0.1u</t>
  </si>
  <si>
    <t>https://www.digikey.jp/ja/products/detail/murata-electronics/GRM188R72A104KA35D/702549</t>
  </si>
  <si>
    <t>GRM188R72A104KA35D</t>
  </si>
  <si>
    <t>C6</t>
  </si>
  <si>
    <t>0.33u</t>
  </si>
  <si>
    <t>https://www.digikey.jp/ja/products/detail/murata-electronics/GRM188R71C474KA88D/702559</t>
  </si>
  <si>
    <t>GRM188R71C474KA88D</t>
  </si>
  <si>
    <t>C10,C11</t>
  </si>
  <si>
    <t>330u</t>
  </si>
  <si>
    <t>Capacitor_SMD:CP_Elec_10x7.9</t>
  </si>
  <si>
    <t>https://akizukidenshi.com/catalog/g/g117278/</t>
  </si>
  <si>
    <t>50TPV330M10X10.5</t>
  </si>
  <si>
    <t>C12</t>
  </si>
  <si>
    <t>1u</t>
  </si>
  <si>
    <t>https://www.digikey.jp/ja/products/detail/murata-electronics/GRM21BC81H475KE11L/4905516</t>
  </si>
  <si>
    <t>GRM21BC81H475KE11L</t>
  </si>
  <si>
    <t>D1,D2</t>
  </si>
  <si>
    <t>D_Schottky</t>
  </si>
  <si>
    <t>Diode_SMD:D_SOD-123</t>
  </si>
  <si>
    <t>https://akizukidenshi.com/catalog/g/g101398/</t>
  </si>
  <si>
    <t>RB160M-30TR</t>
  </si>
  <si>
    <t>D3</t>
  </si>
  <si>
    <t>PWM</t>
  </si>
  <si>
    <t>LED_SMD:LED_0603_1608Metric</t>
  </si>
  <si>
    <t>https://www.digikey.jp/ja/products/detail/rohm-semiconductor/SMLEN3BC8TT86/15762415</t>
  </si>
  <si>
    <t>SMLEN3BC8TT86</t>
  </si>
  <si>
    <t>D4</t>
  </si>
  <si>
    <t>MA</t>
  </si>
  <si>
    <t>D5</t>
  </si>
  <si>
    <t>MB</t>
  </si>
  <si>
    <t>D6</t>
  </si>
  <si>
    <t>PWR</t>
  </si>
  <si>
    <t>https://www.digikey.jp/ja/products/detail/rohm-semiconductor/SML-E12P8WT86/1641804</t>
  </si>
  <si>
    <t>SML-E12P8WT86</t>
  </si>
  <si>
    <t>J1</t>
  </si>
  <si>
    <t>VIN</t>
  </si>
  <si>
    <t>Anan-Robo_Footprint_Library:XT60PW-M_Horizontal</t>
  </si>
  <si>
    <t>https://akizukidenshi.com/catalog/g/g118156/</t>
  </si>
  <si>
    <t>XT60PW-M</t>
  </si>
  <si>
    <t>J2</t>
  </si>
  <si>
    <t>INPUT</t>
  </si>
  <si>
    <t>Anan-Robo_Footprint_Library:PA繧ｳ繝阪け繧ｿ(4繝斐Φ繧ｵ繧､繝牙梛)</t>
  </si>
  <si>
    <t>https://jp.misumi-ec.com/vona2/detail/222000497792/</t>
  </si>
  <si>
    <t>S04B-PASK-2(LF)(SN)</t>
  </si>
  <si>
    <t>M1</t>
  </si>
  <si>
    <t>Motor_DC</t>
  </si>
  <si>
    <t>Anan-Robo_Footprint_Library:XT60PW-F_Horizontal</t>
  </si>
  <si>
    <t>https://akizukidenshi.com/catalog/g/g118155/</t>
  </si>
  <si>
    <t>XT60PW-F</t>
  </si>
  <si>
    <t>Q1,Q2,Q3,Q4</t>
  </si>
  <si>
    <t>Q_NMOS_GDS</t>
  </si>
  <si>
    <t>Package_TO_SOT_SMD:TO-252-2</t>
  </si>
  <si>
    <t>https://akizukidenshi.com/catalog/g/g117191/</t>
  </si>
  <si>
    <t>MTB7D0N06RJ3</t>
  </si>
  <si>
    <t>R1,R2,R3,R4,R13,R14,R15</t>
  </si>
  <si>
    <t>Resistor_SMD:R_0603_1608Metric</t>
  </si>
  <si>
    <t>https://www.digikey.jp/ja/products/detail/rohm-semiconductor/ESR03EZPF82R0/4007286</t>
  </si>
  <si>
    <t>ESR03EZPF82R0</t>
  </si>
  <si>
    <t>R5,R6,R7,R8,R9,R10</t>
  </si>
  <si>
    <t>20k</t>
  </si>
  <si>
    <t>https://www.digikey.jp/ja/products/detail/rohm-semiconductor/ESR03EZPF2002/1983437</t>
  </si>
  <si>
    <t>ESR03EZPF2002</t>
  </si>
  <si>
    <t>R11,R12</t>
  </si>
  <si>
    <t>R16</t>
  </si>
  <si>
    <t>https://www.digikey.jp/ja/products/detail/rohm-semiconductor/ESR03EZPF4990/21819734</t>
  </si>
  <si>
    <t>ESR03EZPF4990</t>
  </si>
  <si>
    <t>U1,U2</t>
  </si>
  <si>
    <t>IR2302</t>
  </si>
  <si>
    <t>Package_SO:SOIC-8_3.9x4.9mm_P1.27mm</t>
  </si>
  <si>
    <t>https://akizukidenshi.com/catalog/g/g115656/</t>
  </si>
  <si>
    <t>IR2302STRPBF</t>
  </si>
  <si>
    <t>U3</t>
  </si>
  <si>
    <t>74HC00</t>
  </si>
  <si>
    <t>Anan-Robo_Footprint_Library:SOP14</t>
  </si>
  <si>
    <t>https://akizukidenshi.com/catalog/g/g105671/</t>
  </si>
  <si>
    <t>TC74VHC00F</t>
  </si>
  <si>
    <t>U4,U5</t>
  </si>
  <si>
    <t>TLP2348</t>
  </si>
  <si>
    <t>Package_SO:SO-5-6_4.55x3.7mm_P1.27mm</t>
  </si>
  <si>
    <t>https://www.digikey.jp/ja/products/detail/toshiba-semiconductor-and-storage/TLP2348-V4-TPL-E/16678311</t>
  </si>
  <si>
    <t>TLP2348(V4-TPL,E</t>
  </si>
  <si>
    <t>U6</t>
  </si>
  <si>
    <t>NJM7812SDL1</t>
  </si>
  <si>
    <t>https://akizukidenshi.com/catalog/g/g110978/</t>
  </si>
  <si>
    <t>Total Price</t>
    <phoneticPr fontId="18"/>
  </si>
  <si>
    <t>円</t>
    <rPh sb="0" eb="1">
      <t>エン</t>
    </rPh>
    <phoneticPr fontId="18"/>
  </si>
  <si>
    <t>https://www.digikey.jp/ja/products/detail/rohm-semiconductor/ESR03EZPJ181/1983460</t>
    <phoneticPr fontId="18"/>
  </si>
  <si>
    <t>ESR03EZPJ181</t>
  </si>
  <si>
    <t>基板</t>
    <rPh sb="0" eb="2">
      <t>キバン</t>
    </rPh>
    <phoneticPr fontId="18"/>
  </si>
  <si>
    <t>1枚当たり</t>
    <rPh sb="1" eb="3">
      <t>マイア</t>
    </rPh>
    <phoneticPr fontId="18"/>
  </si>
  <si>
    <t>2.5u</t>
    <phoneticPr fontId="18"/>
  </si>
  <si>
    <t>GRM188C61E226ME01D</t>
  </si>
  <si>
    <t>https://www.digikey.jp/ja/products/detail/murata-electronics/GRM188C61E226ME01D/22528367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</si>
</sst>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jp/ja/products/detail/rohm-semiconductor/ESR03EZPJ181/1983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DB5B-B8AF-4927-95C1-CC7B022B233A}">
  <dimension ref="A1:I26"/>
  <sheetViews>
    <sheetView tabSelected="1" workbookViewId="0">
      <selection activeCell="E6" sqref="E6"/>
    </sheetView>
  </sheetViews>
  <sheetFormatPr defaultRowHeight="18.75" x14ac:dyDescent="0.4"/>
  <cols>
    <col min="1" max="1" width="22.625" customWidth="1"/>
    <col min="3" max="3" width="19" hidden="1" customWidth="1"/>
    <col min="5" max="5" width="40.75" customWidth="1"/>
    <col min="6" max="6" width="22.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94</v>
      </c>
    </row>
    <row r="2" spans="1:8" x14ac:dyDescent="0.4">
      <c r="A2" t="s">
        <v>7</v>
      </c>
      <c r="B2" t="s">
        <v>100</v>
      </c>
      <c r="C2" t="s">
        <v>8</v>
      </c>
      <c r="D2">
        <v>2</v>
      </c>
      <c r="E2" t="s">
        <v>102</v>
      </c>
      <c r="F2" t="s">
        <v>101</v>
      </c>
      <c r="G2">
        <v>64</v>
      </c>
      <c r="H2">
        <f>D2*G2</f>
        <v>128</v>
      </c>
    </row>
    <row r="3" spans="1:8" x14ac:dyDescent="0.4">
      <c r="A3" t="s">
        <v>9</v>
      </c>
      <c r="B3" t="s">
        <v>10</v>
      </c>
      <c r="C3" t="s">
        <v>8</v>
      </c>
      <c r="D3">
        <v>6</v>
      </c>
      <c r="E3" t="s">
        <v>11</v>
      </c>
      <c r="F3" t="s">
        <v>12</v>
      </c>
      <c r="G3">
        <v>21</v>
      </c>
      <c r="H3">
        <f t="shared" ref="H3:H23" si="0">D3*G3</f>
        <v>126</v>
      </c>
    </row>
    <row r="4" spans="1:8" x14ac:dyDescent="0.4">
      <c r="A4" t="s">
        <v>13</v>
      </c>
      <c r="B4" t="s">
        <v>14</v>
      </c>
      <c r="C4" t="s">
        <v>8</v>
      </c>
      <c r="D4">
        <v>1</v>
      </c>
      <c r="E4" t="s">
        <v>15</v>
      </c>
      <c r="F4" t="s">
        <v>16</v>
      </c>
      <c r="G4">
        <v>16</v>
      </c>
      <c r="H4">
        <f t="shared" si="0"/>
        <v>16</v>
      </c>
    </row>
    <row r="5" spans="1:8" x14ac:dyDescent="0.4">
      <c r="A5" t="s">
        <v>17</v>
      </c>
      <c r="B5" t="s">
        <v>18</v>
      </c>
      <c r="C5" t="s">
        <v>19</v>
      </c>
      <c r="D5">
        <v>2</v>
      </c>
      <c r="E5" t="s">
        <v>20</v>
      </c>
      <c r="F5" t="s">
        <v>21</v>
      </c>
      <c r="G5">
        <v>40</v>
      </c>
      <c r="H5">
        <f t="shared" si="0"/>
        <v>80</v>
      </c>
    </row>
    <row r="6" spans="1:8" x14ac:dyDescent="0.4">
      <c r="A6" t="s">
        <v>22</v>
      </c>
      <c r="B6" t="s">
        <v>23</v>
      </c>
      <c r="C6" t="s">
        <v>8</v>
      </c>
      <c r="D6">
        <v>1</v>
      </c>
      <c r="E6" t="s">
        <v>24</v>
      </c>
      <c r="F6" t="s">
        <v>25</v>
      </c>
      <c r="G6">
        <v>39</v>
      </c>
      <c r="H6">
        <f t="shared" si="0"/>
        <v>39</v>
      </c>
    </row>
    <row r="7" spans="1:8" x14ac:dyDescent="0.4">
      <c r="A7" t="s">
        <v>26</v>
      </c>
      <c r="B7" t="s">
        <v>27</v>
      </c>
      <c r="C7" t="s">
        <v>28</v>
      </c>
      <c r="D7">
        <v>2</v>
      </c>
      <c r="E7" t="s">
        <v>29</v>
      </c>
      <c r="F7" t="s">
        <v>30</v>
      </c>
      <c r="G7">
        <v>15</v>
      </c>
      <c r="H7">
        <f t="shared" si="0"/>
        <v>30</v>
      </c>
    </row>
    <row r="8" spans="1:8" x14ac:dyDescent="0.4">
      <c r="A8" t="s">
        <v>31</v>
      </c>
      <c r="B8" t="s">
        <v>32</v>
      </c>
      <c r="C8" t="s">
        <v>33</v>
      </c>
      <c r="D8">
        <v>1</v>
      </c>
      <c r="E8" t="s">
        <v>34</v>
      </c>
      <c r="F8" t="s">
        <v>35</v>
      </c>
      <c r="G8">
        <v>96</v>
      </c>
      <c r="H8">
        <f t="shared" si="0"/>
        <v>96</v>
      </c>
    </row>
    <row r="9" spans="1:8" x14ac:dyDescent="0.4">
      <c r="A9" t="s">
        <v>36</v>
      </c>
      <c r="B9" t="s">
        <v>37</v>
      </c>
      <c r="C9" t="s">
        <v>33</v>
      </c>
      <c r="D9">
        <v>1</v>
      </c>
      <c r="E9" t="s">
        <v>34</v>
      </c>
      <c r="F9" t="s">
        <v>35</v>
      </c>
      <c r="G9">
        <v>96</v>
      </c>
      <c r="H9">
        <f t="shared" si="0"/>
        <v>96</v>
      </c>
    </row>
    <row r="10" spans="1:8" x14ac:dyDescent="0.4">
      <c r="A10" t="s">
        <v>38</v>
      </c>
      <c r="B10" t="s">
        <v>39</v>
      </c>
      <c r="C10" t="s">
        <v>33</v>
      </c>
      <c r="D10">
        <v>1</v>
      </c>
      <c r="E10" t="s">
        <v>34</v>
      </c>
      <c r="F10" t="s">
        <v>35</v>
      </c>
      <c r="G10">
        <v>96</v>
      </c>
      <c r="H10">
        <f t="shared" si="0"/>
        <v>96</v>
      </c>
    </row>
    <row r="11" spans="1:8" x14ac:dyDescent="0.4">
      <c r="A11" t="s">
        <v>40</v>
      </c>
      <c r="B11" t="s">
        <v>41</v>
      </c>
      <c r="C11" t="s">
        <v>33</v>
      </c>
      <c r="D11">
        <v>1</v>
      </c>
      <c r="E11" t="s">
        <v>42</v>
      </c>
      <c r="F11" t="s">
        <v>43</v>
      </c>
      <c r="G11">
        <v>41</v>
      </c>
      <c r="H11">
        <f t="shared" si="0"/>
        <v>41</v>
      </c>
    </row>
    <row r="12" spans="1:8" x14ac:dyDescent="0.4">
      <c r="A12" t="s">
        <v>44</v>
      </c>
      <c r="B12" t="s">
        <v>45</v>
      </c>
      <c r="C12" t="s">
        <v>46</v>
      </c>
      <c r="D12">
        <v>1</v>
      </c>
      <c r="E12" t="s">
        <v>47</v>
      </c>
      <c r="F12" t="s">
        <v>48</v>
      </c>
      <c r="G12">
        <v>100</v>
      </c>
      <c r="H12">
        <f t="shared" si="0"/>
        <v>100</v>
      </c>
    </row>
    <row r="13" spans="1:8" x14ac:dyDescent="0.4">
      <c r="A13" t="s">
        <v>49</v>
      </c>
      <c r="B13" t="s">
        <v>50</v>
      </c>
      <c r="C13" t="s">
        <v>51</v>
      </c>
      <c r="D13">
        <v>1</v>
      </c>
      <c r="E13" t="s">
        <v>52</v>
      </c>
      <c r="F13" t="s">
        <v>53</v>
      </c>
      <c r="G13">
        <v>75</v>
      </c>
      <c r="H13">
        <f t="shared" si="0"/>
        <v>75</v>
      </c>
    </row>
    <row r="14" spans="1:8" x14ac:dyDescent="0.4">
      <c r="A14" t="s">
        <v>54</v>
      </c>
      <c r="B14" t="s">
        <v>55</v>
      </c>
      <c r="C14" t="s">
        <v>56</v>
      </c>
      <c r="D14">
        <v>1</v>
      </c>
      <c r="E14" t="s">
        <v>57</v>
      </c>
      <c r="F14" t="s">
        <v>58</v>
      </c>
      <c r="G14">
        <v>100</v>
      </c>
      <c r="H14">
        <f t="shared" si="0"/>
        <v>100</v>
      </c>
    </row>
    <row r="15" spans="1:8" x14ac:dyDescent="0.4">
      <c r="A15" t="s">
        <v>59</v>
      </c>
      <c r="B15" t="s">
        <v>60</v>
      </c>
      <c r="C15" t="s">
        <v>61</v>
      </c>
      <c r="D15">
        <v>4</v>
      </c>
      <c r="E15" t="s">
        <v>62</v>
      </c>
      <c r="F15" t="s">
        <v>63</v>
      </c>
      <c r="G15">
        <v>40</v>
      </c>
      <c r="H15">
        <f t="shared" si="0"/>
        <v>160</v>
      </c>
    </row>
    <row r="16" spans="1:8" x14ac:dyDescent="0.4">
      <c r="A16" t="s">
        <v>64</v>
      </c>
      <c r="B16">
        <v>80</v>
      </c>
      <c r="C16" t="s">
        <v>65</v>
      </c>
      <c r="D16">
        <v>7</v>
      </c>
      <c r="E16" t="s">
        <v>66</v>
      </c>
      <c r="F16" t="s">
        <v>67</v>
      </c>
      <c r="G16">
        <v>24</v>
      </c>
      <c r="H16">
        <f t="shared" si="0"/>
        <v>168</v>
      </c>
    </row>
    <row r="17" spans="1:9" x14ac:dyDescent="0.4">
      <c r="A17" t="s">
        <v>68</v>
      </c>
      <c r="B17" t="s">
        <v>69</v>
      </c>
      <c r="C17" t="s">
        <v>65</v>
      </c>
      <c r="D17">
        <v>6</v>
      </c>
      <c r="E17" t="s">
        <v>70</v>
      </c>
      <c r="F17" t="s">
        <v>71</v>
      </c>
      <c r="G17">
        <v>24</v>
      </c>
      <c r="H17">
        <f t="shared" si="0"/>
        <v>144</v>
      </c>
    </row>
    <row r="18" spans="1:9" x14ac:dyDescent="0.4">
      <c r="A18" t="s">
        <v>72</v>
      </c>
      <c r="B18">
        <v>175</v>
      </c>
      <c r="C18" t="s">
        <v>65</v>
      </c>
      <c r="D18">
        <v>2</v>
      </c>
      <c r="E18" s="1" t="s">
        <v>96</v>
      </c>
      <c r="F18" t="s">
        <v>97</v>
      </c>
      <c r="G18">
        <v>23</v>
      </c>
      <c r="H18">
        <f t="shared" si="0"/>
        <v>46</v>
      </c>
    </row>
    <row r="19" spans="1:9" x14ac:dyDescent="0.4">
      <c r="A19" t="s">
        <v>73</v>
      </c>
      <c r="B19">
        <v>500</v>
      </c>
      <c r="C19" t="s">
        <v>65</v>
      </c>
      <c r="D19">
        <v>1</v>
      </c>
      <c r="E19" t="s">
        <v>74</v>
      </c>
      <c r="F19" t="s">
        <v>75</v>
      </c>
      <c r="G19">
        <v>24</v>
      </c>
      <c r="H19">
        <f t="shared" si="0"/>
        <v>24</v>
      </c>
    </row>
    <row r="20" spans="1:9" x14ac:dyDescent="0.4">
      <c r="A20" t="s">
        <v>76</v>
      </c>
      <c r="B20" t="s">
        <v>77</v>
      </c>
      <c r="C20" t="s">
        <v>78</v>
      </c>
      <c r="D20">
        <v>2</v>
      </c>
      <c r="E20" t="s">
        <v>79</v>
      </c>
      <c r="F20" t="s">
        <v>80</v>
      </c>
      <c r="G20">
        <v>260</v>
      </c>
      <c r="H20">
        <f t="shared" si="0"/>
        <v>520</v>
      </c>
    </row>
    <row r="21" spans="1:9" x14ac:dyDescent="0.4">
      <c r="A21" t="s">
        <v>81</v>
      </c>
      <c r="B21" t="s">
        <v>82</v>
      </c>
      <c r="C21" t="s">
        <v>83</v>
      </c>
      <c r="D21">
        <v>1</v>
      </c>
      <c r="E21" t="s">
        <v>84</v>
      </c>
      <c r="F21" t="s">
        <v>85</v>
      </c>
      <c r="G21">
        <v>30</v>
      </c>
      <c r="H21">
        <f t="shared" si="0"/>
        <v>30</v>
      </c>
    </row>
    <row r="22" spans="1:9" x14ac:dyDescent="0.4">
      <c r="A22" t="s">
        <v>86</v>
      </c>
      <c r="B22" t="s">
        <v>87</v>
      </c>
      <c r="C22" t="s">
        <v>88</v>
      </c>
      <c r="D22">
        <v>2</v>
      </c>
      <c r="E22" t="s">
        <v>89</v>
      </c>
      <c r="F22" t="s">
        <v>90</v>
      </c>
      <c r="G22">
        <v>194</v>
      </c>
      <c r="H22">
        <f t="shared" si="0"/>
        <v>388</v>
      </c>
    </row>
    <row r="23" spans="1:9" x14ac:dyDescent="0.4">
      <c r="A23" t="s">
        <v>91</v>
      </c>
      <c r="B23" t="s">
        <v>92</v>
      </c>
      <c r="C23" t="s">
        <v>61</v>
      </c>
      <c r="D23">
        <v>1</v>
      </c>
      <c r="E23" t="s">
        <v>93</v>
      </c>
      <c r="F23" t="s">
        <v>92</v>
      </c>
      <c r="G23">
        <v>50</v>
      </c>
      <c r="H23">
        <f t="shared" si="0"/>
        <v>50</v>
      </c>
    </row>
    <row r="24" spans="1:9" x14ac:dyDescent="0.4">
      <c r="G24" t="s">
        <v>98</v>
      </c>
      <c r="H24">
        <v>63</v>
      </c>
    </row>
    <row r="26" spans="1:9" x14ac:dyDescent="0.4">
      <c r="G26" t="s">
        <v>99</v>
      </c>
      <c r="H26">
        <f>SUM(H2:H24)</f>
        <v>2616</v>
      </c>
      <c r="I26" t="s">
        <v>95</v>
      </c>
    </row>
  </sheetData>
  <autoFilter ref="A1:H24" xr:uid="{2DFBDB5B-B8AF-4927-95C1-CC7B022B233A}"/>
  <phoneticPr fontId="18"/>
  <hyperlinks>
    <hyperlink ref="E18" r:id="rId1" xr:uid="{42A18263-1657-4831-A19E-34BC69595D28}"/>
  </hyperlinks>
  <pageMargins left="0.7" right="0.7" top="0.75" bottom="0.75" header="0.3" footer="0.3"/>
  <pageSetup paperSize="9" orientation="landscape" horizont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MotorDriver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 Amo</dc:creator>
  <cp:lastModifiedBy>天?優太_阿南高専</cp:lastModifiedBy>
  <cp:lastPrinted>2025-03-11T03:40:16Z</cp:lastPrinted>
  <dcterms:created xsi:type="dcterms:W3CDTF">2025-02-22T17:00:09Z</dcterms:created>
  <dcterms:modified xsi:type="dcterms:W3CDTF">2025-03-11T10:03:18Z</dcterms:modified>
</cp:coreProperties>
</file>