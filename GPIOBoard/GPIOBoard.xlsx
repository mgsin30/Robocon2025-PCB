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GPIOBoard\"/>
    </mc:Choice>
  </mc:AlternateContent>
  <xr:revisionPtr revIDLastSave="0" documentId="13_ncr:1_{01D6D54B-2492-4916-88B7-CA54D71E81D5}" xr6:coauthVersionLast="47" xr6:coauthVersionMax="47" xr10:uidLastSave="{00000000-0000-0000-0000-000000000000}"/>
  <bookViews>
    <workbookView xWindow="14295" yWindow="0" windowWidth="14610" windowHeight="15585" xr2:uid="{36496988-5546-4C16-A2FF-2E3FDDCCB7C4}"/>
  </bookViews>
  <sheets>
    <sheet name="GPIOBoard" sheetId="1" r:id="rId1"/>
  </sheets>
  <definedNames>
    <definedName name="_xlnm._FilterDatabase" localSheetId="0" hidden="1">GPIOBoard!$F$1:$F$52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H48" i="1"/>
  <c r="H47" i="1"/>
  <c r="H46" i="1"/>
  <c r="H45" i="1"/>
  <c r="H44" i="1"/>
  <c r="H43" i="1"/>
  <c r="H42" i="1"/>
  <c r="H41" i="1"/>
  <c r="H4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H37" i="1" l="1"/>
  <c r="H38" i="1" s="1"/>
</calcChain>
</file>

<file path=xl/sharedStrings.xml><?xml version="1.0" encoding="utf-8"?>
<sst xmlns="http://schemas.openxmlformats.org/spreadsheetml/2006/main" count="198" uniqueCount="180">
  <si>
    <t>Reference</t>
  </si>
  <si>
    <t>Qty</t>
  </si>
  <si>
    <t>Value</t>
  </si>
  <si>
    <t>Footprint</t>
  </si>
  <si>
    <t>Name</t>
  </si>
  <si>
    <t>URL</t>
  </si>
  <si>
    <t>Price</t>
  </si>
  <si>
    <t>C1</t>
  </si>
  <si>
    <t>10u</t>
  </si>
  <si>
    <t>Capacitor_SMD:C_0603_1608Metric</t>
  </si>
  <si>
    <t>GRM188R60J476ME01D</t>
  </si>
  <si>
    <t>C2</t>
  </si>
  <si>
    <t>CL10A226MP8NUNE</t>
  </si>
  <si>
    <t>https://www.digikey.jp/ja/products/detail/samsung-electro-mechanics/CL10A226MP8NUNE/3886932</t>
  </si>
  <si>
    <t>C3,C4,C6,C8,C11,C12</t>
  </si>
  <si>
    <t>0.1u</t>
  </si>
  <si>
    <t>CL10B104KA8NNNC</t>
  </si>
  <si>
    <t>C5</t>
  </si>
  <si>
    <t>4.7u</t>
  </si>
  <si>
    <t>CL10A106KQ8NNNC</t>
  </si>
  <si>
    <t>https://www.digikey.jp/ja/products/detail/samsung-electro-mechanics/CL10A106KQ8NNNC/3886696</t>
  </si>
  <si>
    <t>C7</t>
  </si>
  <si>
    <t>1u</t>
  </si>
  <si>
    <t>CL10B105KA8NNNC</t>
  </si>
  <si>
    <t>https://www.digikey.jp/ja/products/detail/samsung-electro-mechanics/CL10B105KA8NNNC/3886842</t>
  </si>
  <si>
    <t>C9,C10</t>
  </si>
  <si>
    <t>15p</t>
  </si>
  <si>
    <t>C0603C150K4GACTU</t>
  </si>
  <si>
    <t>https://www.digikey.jp/ja/products/detail/kemet/C0603C150K4GACTU/2199932</t>
  </si>
  <si>
    <t>D1,D2,D3,D4,D5,D6,D7,D8</t>
  </si>
  <si>
    <t>LED</t>
  </si>
  <si>
    <t>LED_SMD:LED_0603_1608Metric</t>
  </si>
  <si>
    <t>SMLEN3BC8TT86</t>
  </si>
  <si>
    <t>https://www.digikey.jp/ja/products/detail/rohm-semiconductor/SMLEN3BC8TT86/15762415</t>
  </si>
  <si>
    <t>D9,D10,D12,D13,D14</t>
  </si>
  <si>
    <t>CAN_RX,CAN_TX,RX,TX,data</t>
  </si>
  <si>
    <t>SML-E12P8WT86</t>
  </si>
  <si>
    <t>https://www.digikey.jp/ja/products/detail/rohm-semiconductor/SML-E12P8WT86/1641804</t>
  </si>
  <si>
    <t>D11</t>
  </si>
  <si>
    <t>PWR</t>
  </si>
  <si>
    <t>SML-E12DWT86</t>
  </si>
  <si>
    <t>https://www.digikey.jp/ja/products/detail/rohm-semiconductor/SML-E12DWT86/2337250</t>
  </si>
  <si>
    <t>D15,D16</t>
  </si>
  <si>
    <t>D</t>
  </si>
  <si>
    <t>Diode_SMD:D_SOD-123</t>
  </si>
  <si>
    <t>RB160M-30TR</t>
  </si>
  <si>
    <t>https://akizukidenshi.com/catalog/g/g101398/</t>
  </si>
  <si>
    <t>F1,F2</t>
  </si>
  <si>
    <t>Polyfuse</t>
  </si>
  <si>
    <t>Anan-Robo_Footprint_Library:MF-FSMF</t>
  </si>
  <si>
    <t>MF-FSMF020X-2</t>
  </si>
  <si>
    <t>https://akizukidenshi.com/catalog/g/g114311/</t>
  </si>
  <si>
    <t>FB1</t>
  </si>
  <si>
    <t>FerriteBead</t>
  </si>
  <si>
    <t>Inductor_SMD:L_0603_1608Metric</t>
  </si>
  <si>
    <t>BLM18KG601SN1D</t>
  </si>
  <si>
    <t>https://www.digikey.jp/ja/products/detail/murata-electronics/BLM18KG601SN1D/1982766</t>
  </si>
  <si>
    <t>H1,H2,H3,H4</t>
  </si>
  <si>
    <t>MountingHole_Pad</t>
  </si>
  <si>
    <t>MountingHole:MountingHole_3.2mm_M3_Pad</t>
  </si>
  <si>
    <t>J1,J2,J3,J4,J5,J6,J7,J8</t>
  </si>
  <si>
    <t>GPIO1,GPIO2,GPIO3,GPIO4,GPIO5,GPIO6,GPIO7,GPIO8</t>
  </si>
  <si>
    <t>Anan-Robo_Footprint_Library:PA繧ｳ繝阪け繧ｿ(3繝斐Φ繧ｵ繧､繝牙梛)</t>
  </si>
  <si>
    <t>S03B-PASK-2</t>
  </si>
  <si>
    <t>J9</t>
  </si>
  <si>
    <t>IMU</t>
  </si>
  <si>
    <t>Anan-Robo_Footprint_Library:PA繧ｳ繝阪け繧ｿ(4繝斐Φ繧ｵ繧､繝牙梛)</t>
  </si>
  <si>
    <t>S04B-PASK-2</t>
  </si>
  <si>
    <t>J10</t>
  </si>
  <si>
    <t>USB_C_Receptacle_USB2.0_16P</t>
  </si>
  <si>
    <t>Connector_USB:USB_C_Receptacle_GCT_USB4105-xx-A_16P_TopMnt_Horizontal</t>
  </si>
  <si>
    <t>5077CR-16-SMC2-BK-TR</t>
  </si>
  <si>
    <t>https://akizukidenshi.com/catalog/g/g114356/</t>
  </si>
  <si>
    <t>J11</t>
  </si>
  <si>
    <t>SWD</t>
  </si>
  <si>
    <t>Connector_JST:JST_SH_SM04B-SRSS-TB_1x04-1MP_P1.00mm_Horizontal</t>
  </si>
  <si>
    <t>SM04B-SRSS-TB</t>
  </si>
  <si>
    <t>https://www.digikey.jp/ja/products/detail/jst-sales-america-inc/SM04B-SRSS-TB/926710</t>
  </si>
  <si>
    <t>J12</t>
  </si>
  <si>
    <t>CAN</t>
  </si>
  <si>
    <t>Connector_IDC:IDC-Header_2x03_P2.54mm_Horizontal</t>
  </si>
  <si>
    <t>JS-1200R-06</t>
  </si>
  <si>
    <t>https://eleshop.jp/shop/g/g7AB411/</t>
  </si>
  <si>
    <t>JP1</t>
  </si>
  <si>
    <t>MCP2561/2FD selector</t>
  </si>
  <si>
    <t>Jumper:SolderJumper-2_P1.3mm_Open_Pad1.0x1.5mm</t>
  </si>
  <si>
    <t>R1,R2,R3,R4,R5,R6,R7,R8</t>
  </si>
  <si>
    <t>Resistor_SMD:R_0603_1608Metric</t>
  </si>
  <si>
    <t>ESR03EZPF82R0</t>
  </si>
  <si>
    <t>https://www.digikey.jp/ja/products/detail/rohm-semiconductor/ESR03EZPF82R0/4007286</t>
  </si>
  <si>
    <t>R9,R10,R11,R12,R13,R14,R15,R16</t>
  </si>
  <si>
    <t>ESR03EZPF3300</t>
  </si>
  <si>
    <t>https://www.digikey.jp/ja/products/detail/rohm-semiconductor/ESR03EZPF3300/4007217</t>
  </si>
  <si>
    <t>R17,R18,R20,R23,R24</t>
  </si>
  <si>
    <t>R19</t>
  </si>
  <si>
    <t>ESR03EZPF1500</t>
  </si>
  <si>
    <t>https://www.digikey.jp/ja/products/detail/rohm-semiconductor/ESR03EZPF1500/4007164</t>
  </si>
  <si>
    <t>R21,R22</t>
  </si>
  <si>
    <t>5.1k</t>
  </si>
  <si>
    <t>ESR03EZPF5101</t>
  </si>
  <si>
    <t>https://www.digikey.jp/ja/products/detail/rohm-semiconductor/ESR03EZPF5101/4007250</t>
  </si>
  <si>
    <t>R25</t>
  </si>
  <si>
    <t>ESR03EZPJ121</t>
  </si>
  <si>
    <t>https://www.digikey.jp/ja/products/detail/rohm-semiconductor/ESR03EZPJ121/1983454</t>
  </si>
  <si>
    <t>R26</t>
  </si>
  <si>
    <t>10k</t>
  </si>
  <si>
    <t>ESR03EZPF1002</t>
  </si>
  <si>
    <t>https://www.digikey.jp/ja/products/detail/rohm-semiconductor/ESR03EZPF1002/1983429</t>
  </si>
  <si>
    <t>SW1</t>
  </si>
  <si>
    <t>RESET</t>
  </si>
  <si>
    <t>Anan-Robo_Footprint_Library:TVAF06-A020B-R</t>
  </si>
  <si>
    <t>TVAF06-A020B-R</t>
  </si>
  <si>
    <t>https://akizukidenshi.com/catalog/g/g114888/</t>
  </si>
  <si>
    <t>SW2</t>
  </si>
  <si>
    <t>SW_Coded</t>
  </si>
  <si>
    <t>Anan-Robo_Footprint_Library:RDS-1055-SMT</t>
  </si>
  <si>
    <t>RDS-16S-1055-SMT-TR</t>
  </si>
  <si>
    <t>https://www.digikey.jp/ja/products/detail/same-sky-formerly-cui-devices/RDS-16S-1055-SMT-TR/12424507</t>
  </si>
  <si>
    <t>SW3</t>
  </si>
  <si>
    <t>CAN_R</t>
  </si>
  <si>
    <t>Anan-Robo_Footprint_Library:SSSS213202</t>
  </si>
  <si>
    <t>SSSS213202</t>
  </si>
  <si>
    <t>https://akizukidenshi.com/catalog/g/g105043/</t>
  </si>
  <si>
    <t>U1</t>
  </si>
  <si>
    <t>STM32F303K8Tx</t>
  </si>
  <si>
    <t>Package_QFP:LQFP-32_7x7mm_P0.8mm</t>
  </si>
  <si>
    <t>STM32F303K8T6</t>
  </si>
  <si>
    <t>https://akizukidenshi.com/catalog/g/g110790/</t>
  </si>
  <si>
    <t>U2</t>
  </si>
  <si>
    <t>LM1117GS</t>
  </si>
  <si>
    <t>Package_TO_SOT_SMD:SOT-223-3_TabPin2</t>
  </si>
  <si>
    <t>LM1117GS-3.3</t>
  </si>
  <si>
    <t>https://akizukidenshi.com/catalog/g/g116989/</t>
  </si>
  <si>
    <t>U3</t>
  </si>
  <si>
    <t>CH340E</t>
  </si>
  <si>
    <t>Package_SO:MSOP-10_3x3mm_P0.5mm</t>
  </si>
  <si>
    <t>https://akizukidenshi.com/catalog/g/g113543/</t>
  </si>
  <si>
    <t>U4</t>
  </si>
  <si>
    <t>MCP2561/2FD</t>
  </si>
  <si>
    <t>Package_SO:SOIC-8_3.9x4.9mm_P1.27mm</t>
  </si>
  <si>
    <t>MCP2562FDT-E/SN</t>
  </si>
  <si>
    <t>https://www.digikey.jp/ja/products/detail/microchip-technology/MCP2562FDT-E-SN/4860105</t>
  </si>
  <si>
    <t>Y1</t>
  </si>
  <si>
    <t>Crystal_GND2</t>
  </si>
  <si>
    <t>Anan-Robo_Footprint_Library:XRCGB</t>
  </si>
  <si>
    <t>XRCGB32M000F1SADR0</t>
  </si>
  <si>
    <t>https://www.digikey.jp/ja/products/detail/murata-electronics/XRCGB32M000F1SADR0/21662918?s=N4IgTCBcDaIBoCUDCBxAQgZjAWQAz4DEBGAZQEEARBXEAXQF8g</t>
  </si>
  <si>
    <t>Total</t>
    <phoneticPr fontId="18"/>
  </si>
  <si>
    <t>全額</t>
    <rPh sb="0" eb="2">
      <t>ゼンガク</t>
    </rPh>
    <phoneticPr fontId="18"/>
  </si>
  <si>
    <t>（税込）</t>
    <rPh sb="1" eb="3">
      <t>ゼイコミ</t>
    </rPh>
    <phoneticPr fontId="18"/>
  </si>
  <si>
    <t>実質</t>
    <rPh sb="0" eb="2">
      <t>ジッシツ</t>
    </rPh>
    <phoneticPr fontId="18"/>
  </si>
  <si>
    <t>（税込、PAコネクタ、マイコン、CANトランシーバー抜き）</t>
    <rPh sb="1" eb="3">
      <t>ゼイコミ</t>
    </rPh>
    <rPh sb="26" eb="27">
      <t>ヌ</t>
    </rPh>
    <phoneticPr fontId="18"/>
  </si>
  <si>
    <t>基板以外で必要なもの</t>
    <rPh sb="0" eb="2">
      <t>キバン</t>
    </rPh>
    <rPh sb="2" eb="4">
      <t>イガイ</t>
    </rPh>
    <rPh sb="5" eb="7">
      <t>ヒツヨウ</t>
    </rPh>
    <phoneticPr fontId="18"/>
  </si>
  <si>
    <t>CAN入力</t>
    <rPh sb="3" eb="5">
      <t>ニュウリョク</t>
    </rPh>
    <phoneticPr fontId="18"/>
  </si>
  <si>
    <t>FC-06P</t>
  </si>
  <si>
    <t>https://eleshop.jp/shop/g/g79J413/</t>
  </si>
  <si>
    <t>FC-06/SR</t>
  </si>
  <si>
    <t>https://eleshop.jp/shop/g/g79J415/</t>
  </si>
  <si>
    <t>SHR-04V-S-B</t>
  </si>
  <si>
    <t>https://www.digikey.jp/ja/products/detail/jst-sales-america-inc/SHR-04V-S-B/759868</t>
  </si>
  <si>
    <t>SSH-003T-P0.2-H</t>
  </si>
  <si>
    <t>https://www.digikey.jp/ja/products/detail/jst-sales-america-inc/SSH-003T-P0-2-H/2804713</t>
  </si>
  <si>
    <t>QI-4</t>
  </si>
  <si>
    <t>https://eleshop.jp/shop/g/g4AM144/</t>
  </si>
  <si>
    <t>QI-ZU</t>
  </si>
  <si>
    <t>https://eleshop.jp/shop/g/g4AM14A/</t>
  </si>
  <si>
    <t>シリコンワイヤーより線 L-2m AWG28 (黒)</t>
  </si>
  <si>
    <t>https://eleshop.jp/shop/g/gF47V1C/</t>
  </si>
  <si>
    <t>ESR03EZPJ390</t>
  </si>
  <si>
    <t>https://www.digikey.jp/ja/products/detail/rohm-semiconductor/ESR03EZPJ390/4051248</t>
  </si>
  <si>
    <t>ESR03EZPF6650</t>
  </si>
  <si>
    <t>https://www.digikey.jp/ja/products/detail/rohm-semiconductor/ESR03EZPF6650/21731250</t>
  </si>
  <si>
    <t>SHコネクタ</t>
    <phoneticPr fontId="18"/>
  </si>
  <si>
    <t>https://eleshop.jp/shop/g/gE23139/</t>
  </si>
  <si>
    <t>https://eleshop.jp/shop/g/gE23133/</t>
  </si>
  <si>
    <t>https://eleshop.jp/shop/g/gE2313A/</t>
  </si>
  <si>
    <t>ESR03EZPF60R4</t>
  </si>
  <si>
    <t>https://www.digikey.jp/ja/products/detail/rohm-semiconductor/ESR03EZPF60R4/20486478</t>
  </si>
  <si>
    <t>https://www.digikey.jp/ja/products/detail/murata-electronics/GRM188R60J476ME01D/13996874</t>
    <phoneticPr fontId="18"/>
  </si>
  <si>
    <t>https://www.digikey.jp/ja/products/detail/samsung-electro-mechanics/CL10B104KA8NNNC/3886664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</si>
</sst>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0" fontId="19" fillId="0" borderId="0" xfId="42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jp/ja/products/detail/samsung-electro-mechanics/CL10B104KA8NNNC/3886664" TargetMode="External"/><Relationship Id="rId1" Type="http://schemas.openxmlformats.org/officeDocument/2006/relationships/hyperlink" Target="https://www.digikey.jp/ja/products/detail/murata-electronics/GRM188R60J476ME01D/13996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C9DA-D6C9-425C-AD2F-FC4C11735408}">
  <sheetPr filterMode="1"/>
  <dimension ref="A1:I52"/>
  <sheetViews>
    <sheetView tabSelected="1" workbookViewId="0">
      <selection activeCell="E2" sqref="E2"/>
    </sheetView>
  </sheetViews>
  <sheetFormatPr defaultRowHeight="18.75" x14ac:dyDescent="0.4"/>
  <cols>
    <col min="4" max="4" width="22.25" hidden="1" customWidth="1"/>
    <col min="6" max="6" width="63.375" customWidth="1"/>
    <col min="8" max="8" width="9.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</row>
    <row r="2" spans="1:8" x14ac:dyDescent="0.4">
      <c r="A2" t="s">
        <v>7</v>
      </c>
      <c r="B2">
        <v>1</v>
      </c>
      <c r="C2" t="s">
        <v>8</v>
      </c>
      <c r="D2" t="s">
        <v>9</v>
      </c>
      <c r="E2" t="s">
        <v>10</v>
      </c>
      <c r="F2" s="4" t="s">
        <v>178</v>
      </c>
      <c r="G2">
        <v>56</v>
      </c>
      <c r="H2">
        <f>B2 *G2</f>
        <v>56</v>
      </c>
    </row>
    <row r="3" spans="1:8" x14ac:dyDescent="0.4">
      <c r="A3" t="s">
        <v>11</v>
      </c>
      <c r="B3">
        <v>1</v>
      </c>
      <c r="C3" t="s">
        <v>8</v>
      </c>
      <c r="D3" t="s">
        <v>9</v>
      </c>
      <c r="E3" t="s">
        <v>12</v>
      </c>
      <c r="F3" t="s">
        <v>13</v>
      </c>
      <c r="G3">
        <v>16</v>
      </c>
      <c r="H3">
        <f t="shared" ref="H3:H35" si="0">B3 *G3</f>
        <v>16</v>
      </c>
    </row>
    <row r="4" spans="1:8" x14ac:dyDescent="0.4">
      <c r="A4" t="s">
        <v>14</v>
      </c>
      <c r="B4">
        <v>6</v>
      </c>
      <c r="C4" t="s">
        <v>15</v>
      </c>
      <c r="D4" t="s">
        <v>9</v>
      </c>
      <c r="E4" t="s">
        <v>16</v>
      </c>
      <c r="F4" s="4" t="s">
        <v>179</v>
      </c>
      <c r="G4">
        <v>12</v>
      </c>
      <c r="H4">
        <f t="shared" si="0"/>
        <v>72</v>
      </c>
    </row>
    <row r="5" spans="1:8" x14ac:dyDescent="0.4">
      <c r="A5" t="s">
        <v>17</v>
      </c>
      <c r="B5">
        <v>1</v>
      </c>
      <c r="C5" t="s">
        <v>18</v>
      </c>
      <c r="D5" t="s">
        <v>9</v>
      </c>
      <c r="E5" t="s">
        <v>19</v>
      </c>
      <c r="F5" t="s">
        <v>20</v>
      </c>
      <c r="G5">
        <v>12</v>
      </c>
      <c r="H5">
        <f t="shared" si="0"/>
        <v>12</v>
      </c>
    </row>
    <row r="6" spans="1:8" x14ac:dyDescent="0.4">
      <c r="A6" t="s">
        <v>21</v>
      </c>
      <c r="B6">
        <v>1</v>
      </c>
      <c r="C6" t="s">
        <v>22</v>
      </c>
      <c r="D6" t="s">
        <v>9</v>
      </c>
      <c r="E6" t="s">
        <v>23</v>
      </c>
      <c r="F6" t="s">
        <v>24</v>
      </c>
      <c r="G6">
        <v>9</v>
      </c>
      <c r="H6">
        <f t="shared" si="0"/>
        <v>9</v>
      </c>
    </row>
    <row r="7" spans="1:8" x14ac:dyDescent="0.4">
      <c r="A7" t="s">
        <v>25</v>
      </c>
      <c r="B7">
        <v>2</v>
      </c>
      <c r="C7" t="s">
        <v>26</v>
      </c>
      <c r="D7" t="s">
        <v>9</v>
      </c>
      <c r="E7" t="s">
        <v>27</v>
      </c>
      <c r="F7" t="s">
        <v>28</v>
      </c>
      <c r="G7">
        <v>16</v>
      </c>
      <c r="H7">
        <f t="shared" si="0"/>
        <v>32</v>
      </c>
    </row>
    <row r="8" spans="1:8" x14ac:dyDescent="0.4">
      <c r="A8" t="s">
        <v>29</v>
      </c>
      <c r="B8">
        <v>8</v>
      </c>
      <c r="C8" t="s">
        <v>30</v>
      </c>
      <c r="D8" t="s">
        <v>31</v>
      </c>
      <c r="E8" t="s">
        <v>32</v>
      </c>
      <c r="F8" t="s">
        <v>33</v>
      </c>
      <c r="G8">
        <v>92</v>
      </c>
      <c r="H8">
        <f t="shared" si="0"/>
        <v>736</v>
      </c>
    </row>
    <row r="9" spans="1:8" x14ac:dyDescent="0.4">
      <c r="A9" t="s">
        <v>34</v>
      </c>
      <c r="B9">
        <v>5</v>
      </c>
      <c r="C9" t="s">
        <v>35</v>
      </c>
      <c r="D9" t="s">
        <v>31</v>
      </c>
      <c r="E9" t="s">
        <v>36</v>
      </c>
      <c r="F9" t="s">
        <v>37</v>
      </c>
      <c r="G9">
        <v>39</v>
      </c>
      <c r="H9">
        <f t="shared" si="0"/>
        <v>195</v>
      </c>
    </row>
    <row r="10" spans="1:8" x14ac:dyDescent="0.4">
      <c r="A10" t="s">
        <v>38</v>
      </c>
      <c r="B10">
        <v>1</v>
      </c>
      <c r="C10" t="s">
        <v>39</v>
      </c>
      <c r="D10" t="s">
        <v>31</v>
      </c>
      <c r="E10" t="s">
        <v>40</v>
      </c>
      <c r="F10" t="s">
        <v>41</v>
      </c>
      <c r="G10">
        <v>58</v>
      </c>
      <c r="H10">
        <f t="shared" si="0"/>
        <v>58</v>
      </c>
    </row>
    <row r="11" spans="1:8" hidden="1" x14ac:dyDescent="0.4">
      <c r="A11" t="s">
        <v>42</v>
      </c>
      <c r="B11">
        <v>2</v>
      </c>
      <c r="C11" t="s">
        <v>43</v>
      </c>
      <c r="D11" t="s">
        <v>44</v>
      </c>
      <c r="E11" t="s">
        <v>45</v>
      </c>
      <c r="F11" t="s">
        <v>46</v>
      </c>
      <c r="G11">
        <v>15</v>
      </c>
      <c r="H11">
        <f t="shared" si="0"/>
        <v>30</v>
      </c>
    </row>
    <row r="12" spans="1:8" hidden="1" x14ac:dyDescent="0.4">
      <c r="A12" t="s">
        <v>47</v>
      </c>
      <c r="B12">
        <v>2</v>
      </c>
      <c r="C12" t="s">
        <v>48</v>
      </c>
      <c r="D12" t="s">
        <v>49</v>
      </c>
      <c r="E12" t="s">
        <v>50</v>
      </c>
      <c r="F12" t="s">
        <v>51</v>
      </c>
      <c r="G12">
        <v>20</v>
      </c>
      <c r="H12">
        <f t="shared" si="0"/>
        <v>40</v>
      </c>
    </row>
    <row r="13" spans="1:8" x14ac:dyDescent="0.4">
      <c r="A13" t="s">
        <v>52</v>
      </c>
      <c r="B13">
        <v>1</v>
      </c>
      <c r="C13" t="s">
        <v>53</v>
      </c>
      <c r="D13" t="s">
        <v>54</v>
      </c>
      <c r="E13" t="s">
        <v>55</v>
      </c>
      <c r="F13" t="s">
        <v>56</v>
      </c>
      <c r="G13">
        <v>16</v>
      </c>
      <c r="H13">
        <f t="shared" si="0"/>
        <v>16</v>
      </c>
    </row>
    <row r="14" spans="1:8" hidden="1" x14ac:dyDescent="0.4">
      <c r="A14" t="s">
        <v>57</v>
      </c>
      <c r="B14">
        <v>4</v>
      </c>
      <c r="C14" t="s">
        <v>58</v>
      </c>
      <c r="D14" t="s">
        <v>59</v>
      </c>
      <c r="G14">
        <v>0</v>
      </c>
      <c r="H14">
        <f t="shared" si="0"/>
        <v>0</v>
      </c>
    </row>
    <row r="15" spans="1:8" hidden="1" x14ac:dyDescent="0.4">
      <c r="A15" t="s">
        <v>60</v>
      </c>
      <c r="B15">
        <v>8</v>
      </c>
      <c r="C15" t="s">
        <v>61</v>
      </c>
      <c r="D15" t="s">
        <v>62</v>
      </c>
      <c r="E15" t="s">
        <v>63</v>
      </c>
      <c r="G15">
        <v>65</v>
      </c>
      <c r="H15">
        <f t="shared" si="0"/>
        <v>520</v>
      </c>
    </row>
    <row r="16" spans="1:8" hidden="1" x14ac:dyDescent="0.4">
      <c r="A16" t="s">
        <v>64</v>
      </c>
      <c r="B16">
        <v>1</v>
      </c>
      <c r="C16" t="s">
        <v>65</v>
      </c>
      <c r="D16" t="s">
        <v>66</v>
      </c>
      <c r="E16" t="s">
        <v>67</v>
      </c>
      <c r="G16">
        <v>53</v>
      </c>
      <c r="H16">
        <f t="shared" si="0"/>
        <v>53</v>
      </c>
    </row>
    <row r="17" spans="1:8" hidden="1" x14ac:dyDescent="0.4">
      <c r="A17" t="s">
        <v>68</v>
      </c>
      <c r="B17">
        <v>1</v>
      </c>
      <c r="C17" t="s">
        <v>69</v>
      </c>
      <c r="D17" t="s">
        <v>70</v>
      </c>
      <c r="E17" t="s">
        <v>71</v>
      </c>
      <c r="F17" t="s">
        <v>72</v>
      </c>
      <c r="G17">
        <v>110</v>
      </c>
      <c r="H17">
        <f t="shared" si="0"/>
        <v>110</v>
      </c>
    </row>
    <row r="18" spans="1:8" x14ac:dyDescent="0.4">
      <c r="A18" t="s">
        <v>73</v>
      </c>
      <c r="B18">
        <v>1</v>
      </c>
      <c r="C18" t="s">
        <v>74</v>
      </c>
      <c r="D18" t="s">
        <v>75</v>
      </c>
      <c r="E18" t="s">
        <v>76</v>
      </c>
      <c r="F18" t="s">
        <v>77</v>
      </c>
      <c r="G18">
        <v>81</v>
      </c>
      <c r="H18">
        <f t="shared" si="0"/>
        <v>81</v>
      </c>
    </row>
    <row r="19" spans="1:8" hidden="1" x14ac:dyDescent="0.4">
      <c r="A19" t="s">
        <v>78</v>
      </c>
      <c r="B19">
        <v>1</v>
      </c>
      <c r="C19" t="s">
        <v>79</v>
      </c>
      <c r="D19" t="s">
        <v>80</v>
      </c>
      <c r="E19" t="s">
        <v>81</v>
      </c>
      <c r="F19" t="s">
        <v>82</v>
      </c>
      <c r="G19">
        <v>62</v>
      </c>
      <c r="H19">
        <f t="shared" si="0"/>
        <v>62</v>
      </c>
    </row>
    <row r="20" spans="1:8" hidden="1" x14ac:dyDescent="0.4">
      <c r="A20" t="s">
        <v>83</v>
      </c>
      <c r="B20">
        <v>1</v>
      </c>
      <c r="C20" t="s">
        <v>84</v>
      </c>
      <c r="D20" t="s">
        <v>85</v>
      </c>
      <c r="G20">
        <v>0</v>
      </c>
      <c r="H20">
        <f t="shared" si="0"/>
        <v>0</v>
      </c>
    </row>
    <row r="21" spans="1:8" x14ac:dyDescent="0.4">
      <c r="A21" t="s">
        <v>86</v>
      </c>
      <c r="B21">
        <v>8</v>
      </c>
      <c r="C21">
        <v>80</v>
      </c>
      <c r="D21" t="s">
        <v>87</v>
      </c>
      <c r="E21" t="s">
        <v>88</v>
      </c>
      <c r="F21" t="s">
        <v>89</v>
      </c>
      <c r="G21">
        <v>23</v>
      </c>
      <c r="H21">
        <f t="shared" si="0"/>
        <v>184</v>
      </c>
    </row>
    <row r="22" spans="1:8" x14ac:dyDescent="0.4">
      <c r="A22" t="s">
        <v>90</v>
      </c>
      <c r="B22">
        <v>8</v>
      </c>
      <c r="C22">
        <v>330</v>
      </c>
      <c r="D22" t="s">
        <v>87</v>
      </c>
      <c r="E22" t="s">
        <v>91</v>
      </c>
      <c r="F22" t="s">
        <v>92</v>
      </c>
      <c r="G22">
        <v>23</v>
      </c>
      <c r="H22">
        <f t="shared" si="0"/>
        <v>184</v>
      </c>
    </row>
    <row r="23" spans="1:8" x14ac:dyDescent="0.4">
      <c r="A23" t="s">
        <v>93</v>
      </c>
      <c r="B23">
        <v>5</v>
      </c>
      <c r="C23">
        <v>55</v>
      </c>
      <c r="D23" t="s">
        <v>87</v>
      </c>
      <c r="E23" t="s">
        <v>176</v>
      </c>
      <c r="F23" t="s">
        <v>177</v>
      </c>
      <c r="G23">
        <v>23</v>
      </c>
      <c r="H23">
        <f t="shared" si="0"/>
        <v>115</v>
      </c>
    </row>
    <row r="24" spans="1:8" x14ac:dyDescent="0.4">
      <c r="A24" t="s">
        <v>94</v>
      </c>
      <c r="B24">
        <v>1</v>
      </c>
      <c r="C24">
        <v>150</v>
      </c>
      <c r="D24" t="s">
        <v>87</v>
      </c>
      <c r="E24" t="s">
        <v>95</v>
      </c>
      <c r="F24" t="s">
        <v>96</v>
      </c>
      <c r="G24">
        <v>23</v>
      </c>
      <c r="H24">
        <f t="shared" si="0"/>
        <v>23</v>
      </c>
    </row>
    <row r="25" spans="1:8" x14ac:dyDescent="0.4">
      <c r="A25" t="s">
        <v>97</v>
      </c>
      <c r="B25">
        <v>2</v>
      </c>
      <c r="C25" t="s">
        <v>98</v>
      </c>
      <c r="D25" t="s">
        <v>87</v>
      </c>
      <c r="E25" t="s">
        <v>99</v>
      </c>
      <c r="F25" t="s">
        <v>100</v>
      </c>
      <c r="G25">
        <v>23</v>
      </c>
      <c r="H25">
        <f t="shared" si="0"/>
        <v>46</v>
      </c>
    </row>
    <row r="26" spans="1:8" x14ac:dyDescent="0.4">
      <c r="A26" t="s">
        <v>101</v>
      </c>
      <c r="B26">
        <v>1</v>
      </c>
      <c r="C26">
        <v>120</v>
      </c>
      <c r="D26" t="s">
        <v>87</v>
      </c>
      <c r="E26" t="s">
        <v>102</v>
      </c>
      <c r="F26" t="s">
        <v>103</v>
      </c>
      <c r="G26">
        <v>22</v>
      </c>
      <c r="H26">
        <f t="shared" si="0"/>
        <v>22</v>
      </c>
    </row>
    <row r="27" spans="1:8" x14ac:dyDescent="0.4">
      <c r="A27" t="s">
        <v>104</v>
      </c>
      <c r="B27">
        <v>1</v>
      </c>
      <c r="C27" t="s">
        <v>105</v>
      </c>
      <c r="D27" t="s">
        <v>87</v>
      </c>
      <c r="E27" t="s">
        <v>106</v>
      </c>
      <c r="F27" t="s">
        <v>107</v>
      </c>
      <c r="G27">
        <v>23</v>
      </c>
      <c r="H27">
        <f t="shared" si="0"/>
        <v>23</v>
      </c>
    </row>
    <row r="28" spans="1:8" hidden="1" x14ac:dyDescent="0.4">
      <c r="A28" t="s">
        <v>108</v>
      </c>
      <c r="B28">
        <v>1</v>
      </c>
      <c r="C28" t="s">
        <v>109</v>
      </c>
      <c r="D28" t="s">
        <v>110</v>
      </c>
      <c r="E28" t="s">
        <v>111</v>
      </c>
      <c r="F28" t="s">
        <v>112</v>
      </c>
      <c r="G28">
        <v>22</v>
      </c>
      <c r="H28">
        <f t="shared" si="0"/>
        <v>22</v>
      </c>
    </row>
    <row r="29" spans="1:8" x14ac:dyDescent="0.4">
      <c r="A29" t="s">
        <v>113</v>
      </c>
      <c r="B29">
        <v>1</v>
      </c>
      <c r="C29" t="s">
        <v>114</v>
      </c>
      <c r="D29" t="s">
        <v>115</v>
      </c>
      <c r="E29" t="s">
        <v>116</v>
      </c>
      <c r="F29" t="s">
        <v>117</v>
      </c>
      <c r="G29">
        <v>458</v>
      </c>
      <c r="H29">
        <f t="shared" si="0"/>
        <v>458</v>
      </c>
    </row>
    <row r="30" spans="1:8" hidden="1" x14ac:dyDescent="0.4">
      <c r="A30" t="s">
        <v>118</v>
      </c>
      <c r="B30">
        <v>1</v>
      </c>
      <c r="C30" t="s">
        <v>119</v>
      </c>
      <c r="D30" t="s">
        <v>120</v>
      </c>
      <c r="E30" t="s">
        <v>121</v>
      </c>
      <c r="F30" t="s">
        <v>122</v>
      </c>
      <c r="G30">
        <v>33</v>
      </c>
      <c r="H30">
        <f t="shared" si="0"/>
        <v>33</v>
      </c>
    </row>
    <row r="31" spans="1:8" hidden="1" x14ac:dyDescent="0.4">
      <c r="A31" t="s">
        <v>123</v>
      </c>
      <c r="B31">
        <v>1</v>
      </c>
      <c r="C31" t="s">
        <v>124</v>
      </c>
      <c r="D31" t="s">
        <v>125</v>
      </c>
      <c r="E31" t="s">
        <v>126</v>
      </c>
      <c r="F31" t="s">
        <v>127</v>
      </c>
      <c r="G31">
        <v>780</v>
      </c>
      <c r="H31">
        <f t="shared" si="0"/>
        <v>780</v>
      </c>
    </row>
    <row r="32" spans="1:8" hidden="1" x14ac:dyDescent="0.4">
      <c r="A32" t="s">
        <v>128</v>
      </c>
      <c r="B32">
        <v>1</v>
      </c>
      <c r="C32" t="s">
        <v>129</v>
      </c>
      <c r="D32" t="s">
        <v>130</v>
      </c>
      <c r="E32" t="s">
        <v>131</v>
      </c>
      <c r="F32" t="s">
        <v>132</v>
      </c>
      <c r="G32">
        <v>25</v>
      </c>
      <c r="H32">
        <f t="shared" si="0"/>
        <v>25</v>
      </c>
    </row>
    <row r="33" spans="1:9" hidden="1" x14ac:dyDescent="0.4">
      <c r="A33" t="s">
        <v>133</v>
      </c>
      <c r="B33">
        <v>1</v>
      </c>
      <c r="C33" t="s">
        <v>134</v>
      </c>
      <c r="D33" t="s">
        <v>135</v>
      </c>
      <c r="E33" t="s">
        <v>134</v>
      </c>
      <c r="F33" t="s">
        <v>136</v>
      </c>
      <c r="G33">
        <v>90</v>
      </c>
      <c r="H33">
        <f t="shared" si="0"/>
        <v>90</v>
      </c>
    </row>
    <row r="34" spans="1:9" x14ac:dyDescent="0.4">
      <c r="A34" t="s">
        <v>137</v>
      </c>
      <c r="B34">
        <v>1</v>
      </c>
      <c r="C34" t="s">
        <v>138</v>
      </c>
      <c r="D34" t="s">
        <v>139</v>
      </c>
      <c r="E34" t="s">
        <v>140</v>
      </c>
      <c r="F34" t="s">
        <v>141</v>
      </c>
      <c r="G34">
        <v>202</v>
      </c>
      <c r="H34">
        <f t="shared" si="0"/>
        <v>202</v>
      </c>
    </row>
    <row r="35" spans="1:9" x14ac:dyDescent="0.4">
      <c r="A35" t="s">
        <v>142</v>
      </c>
      <c r="B35">
        <v>1</v>
      </c>
      <c r="C35" t="s">
        <v>143</v>
      </c>
      <c r="D35" t="s">
        <v>144</v>
      </c>
      <c r="E35" t="s">
        <v>145</v>
      </c>
      <c r="F35" t="s">
        <v>146</v>
      </c>
      <c r="G35">
        <v>52</v>
      </c>
      <c r="H35">
        <f t="shared" si="0"/>
        <v>52</v>
      </c>
    </row>
    <row r="36" spans="1:9" hidden="1" x14ac:dyDescent="0.4"/>
    <row r="37" spans="1:9" hidden="1" x14ac:dyDescent="0.4">
      <c r="G37" t="s">
        <v>148</v>
      </c>
      <c r="H37">
        <f>SUM(H2:H35)</f>
        <v>4357</v>
      </c>
      <c r="I37" t="s">
        <v>149</v>
      </c>
    </row>
    <row r="38" spans="1:9" hidden="1" x14ac:dyDescent="0.4">
      <c r="G38" t="s">
        <v>150</v>
      </c>
      <c r="H38">
        <f>H37-H15-H16-H31-H34</f>
        <v>2802</v>
      </c>
      <c r="I38" t="s">
        <v>151</v>
      </c>
    </row>
    <row r="39" spans="1:9" hidden="1" x14ac:dyDescent="0.4">
      <c r="B39" t="s">
        <v>152</v>
      </c>
    </row>
    <row r="40" spans="1:9" hidden="1" x14ac:dyDescent="0.4">
      <c r="B40">
        <v>1</v>
      </c>
      <c r="C40" t="s">
        <v>153</v>
      </c>
      <c r="E40" t="s">
        <v>154</v>
      </c>
      <c r="F40" t="s">
        <v>155</v>
      </c>
      <c r="G40">
        <v>92</v>
      </c>
      <c r="H40">
        <f>B40*G40</f>
        <v>92</v>
      </c>
    </row>
    <row r="41" spans="1:9" hidden="1" x14ac:dyDescent="0.4">
      <c r="B41">
        <v>1</v>
      </c>
      <c r="E41" t="s">
        <v>156</v>
      </c>
      <c r="F41" t="s">
        <v>157</v>
      </c>
      <c r="G41">
        <v>28</v>
      </c>
      <c r="H41">
        <f>B41*G41</f>
        <v>28</v>
      </c>
    </row>
    <row r="42" spans="1:9" x14ac:dyDescent="0.4">
      <c r="B42">
        <v>1</v>
      </c>
      <c r="E42" t="s">
        <v>158</v>
      </c>
      <c r="F42" t="s">
        <v>159</v>
      </c>
      <c r="G42">
        <v>16</v>
      </c>
      <c r="H42">
        <f t="shared" ref="H42:H48" si="1">B42*G42</f>
        <v>16</v>
      </c>
    </row>
    <row r="43" spans="1:9" x14ac:dyDescent="0.4">
      <c r="B43">
        <v>4</v>
      </c>
      <c r="E43" t="s">
        <v>160</v>
      </c>
      <c r="F43" t="s">
        <v>161</v>
      </c>
      <c r="G43">
        <v>17</v>
      </c>
      <c r="H43">
        <f t="shared" si="1"/>
        <v>68</v>
      </c>
    </row>
    <row r="44" spans="1:9" hidden="1" x14ac:dyDescent="0.4">
      <c r="B44">
        <v>1</v>
      </c>
      <c r="E44" t="s">
        <v>162</v>
      </c>
      <c r="F44" t="s">
        <v>163</v>
      </c>
      <c r="G44">
        <v>24</v>
      </c>
      <c r="H44">
        <f t="shared" si="1"/>
        <v>24</v>
      </c>
    </row>
    <row r="45" spans="1:9" hidden="1" x14ac:dyDescent="0.4">
      <c r="B45">
        <v>4</v>
      </c>
      <c r="E45" t="s">
        <v>164</v>
      </c>
      <c r="F45" t="s">
        <v>165</v>
      </c>
      <c r="G45" s="1">
        <v>1.3</v>
      </c>
      <c r="H45">
        <f t="shared" si="1"/>
        <v>5.2</v>
      </c>
    </row>
    <row r="46" spans="1:9" hidden="1" x14ac:dyDescent="0.4">
      <c r="B46">
        <v>1</v>
      </c>
      <c r="E46" t="s">
        <v>166</v>
      </c>
      <c r="F46" t="s">
        <v>167</v>
      </c>
      <c r="G46">
        <v>245</v>
      </c>
      <c r="H46">
        <f>B46*G46</f>
        <v>245</v>
      </c>
    </row>
    <row r="47" spans="1:9" x14ac:dyDescent="0.4">
      <c r="B47">
        <v>8</v>
      </c>
      <c r="E47" t="s">
        <v>168</v>
      </c>
      <c r="F47" t="s">
        <v>169</v>
      </c>
      <c r="G47" s="2">
        <v>22</v>
      </c>
      <c r="H47">
        <f t="shared" si="1"/>
        <v>176</v>
      </c>
    </row>
    <row r="48" spans="1:9" x14ac:dyDescent="0.4">
      <c r="B48">
        <v>8</v>
      </c>
      <c r="E48" t="s">
        <v>170</v>
      </c>
      <c r="F48" t="s">
        <v>171</v>
      </c>
      <c r="G48">
        <v>23</v>
      </c>
      <c r="H48">
        <f t="shared" si="1"/>
        <v>184</v>
      </c>
    </row>
    <row r="49" spans="3:7" hidden="1" x14ac:dyDescent="0.4"/>
    <row r="50" spans="3:7" hidden="1" x14ac:dyDescent="0.4">
      <c r="C50" t="s">
        <v>172</v>
      </c>
      <c r="E50" t="s">
        <v>76</v>
      </c>
      <c r="F50" t="s">
        <v>173</v>
      </c>
      <c r="G50">
        <v>105</v>
      </c>
    </row>
    <row r="51" spans="3:7" hidden="1" x14ac:dyDescent="0.4">
      <c r="E51" t="s">
        <v>158</v>
      </c>
      <c r="F51" t="s">
        <v>174</v>
      </c>
      <c r="G51">
        <v>16</v>
      </c>
    </row>
    <row r="52" spans="3:7" hidden="1" x14ac:dyDescent="0.4">
      <c r="E52" t="s">
        <v>160</v>
      </c>
      <c r="F52" t="s">
        <v>175</v>
      </c>
      <c r="G52" s="3">
        <f>125/10</f>
        <v>12.5</v>
      </c>
    </row>
  </sheetData>
  <autoFilter ref="F1:F52" xr:uid="{4F86C9DA-D6C9-425C-AD2F-FC4C11735408}">
    <filterColumn colId="0">
      <filters>
        <filter val="https://www.digikey.jp/ja/products/detail/jst-sales-america-inc/SHR-04V-S-B/759868"/>
        <filter val="https://www.digikey.jp/ja/products/detail/jst-sales-america-inc/SM04B-SRSS-TB/926710"/>
        <filter val="https://www.digikey.jp/ja/products/detail/jst-sales-america-inc/SSH-003T-P0-2-H/2804713"/>
        <filter val="https://www.digikey.jp/ja/products/detail/kemet/C0603C150K4GACTU/2199932"/>
        <filter val="https://www.digikey.jp/ja/products/detail/microchip-technology/MCP2562FDT-E-SN/4860105"/>
        <filter val="https://www.digikey.jp/ja/products/detail/murata-electronics/BLM18KG601SN1D/1982766"/>
        <filter val="https://www.digikey.jp/ja/products/detail/murata-electronics/GRM188R60J476ME01D/13996874"/>
        <filter val="https://www.digikey.jp/ja/products/detail/murata-electronics/XRCGB32M000F1SADR0/21662918?s=N4IgTCBcDaIBoCUDCBxAQgZjAWQAz4DEBGAZQEEARBXEAXQF8g"/>
        <filter val="https://www.digikey.jp/ja/products/detail/rohm-semiconductor/ESR03EZPF1002/1983429"/>
        <filter val="https://www.digikey.jp/ja/products/detail/rohm-semiconductor/ESR03EZPF1500/4007164"/>
        <filter val="https://www.digikey.jp/ja/products/detail/rohm-semiconductor/ESR03EZPF3300/4007217"/>
        <filter val="https://www.digikey.jp/ja/products/detail/rohm-semiconductor/ESR03EZPF5101/4007250"/>
        <filter val="https://www.digikey.jp/ja/products/detail/rohm-semiconductor/ESR03EZPF60R4/20486478"/>
        <filter val="https://www.digikey.jp/ja/products/detail/rohm-semiconductor/ESR03EZPF6650/21731250"/>
        <filter val="https://www.digikey.jp/ja/products/detail/rohm-semiconductor/ESR03EZPF82R0/4007286"/>
        <filter val="https://www.digikey.jp/ja/products/detail/rohm-semiconductor/ESR03EZPJ121/1983454"/>
        <filter val="https://www.digikey.jp/ja/products/detail/rohm-semiconductor/ESR03EZPJ390/4051248"/>
        <filter val="https://www.digikey.jp/ja/products/detail/rohm-semiconductor/SML-E12DWT86/2337250"/>
        <filter val="https://www.digikey.jp/ja/products/detail/rohm-semiconductor/SML-E12P8WT86/1641804"/>
        <filter val="https://www.digikey.jp/ja/products/detail/rohm-semiconductor/SMLEN3BC8TT86/15762415"/>
        <filter val="https://www.digikey.jp/ja/products/detail/same-sky-formerly-cui-devices/RDS-16S-1055-SMT-TR/12424507"/>
        <filter val="https://www.digikey.jp/ja/products/detail/samsung-electro-mechanics/CL10A106KQ8NNNC/3886696"/>
        <filter val="https://www.digikey.jp/ja/products/detail/samsung-electro-mechanics/CL10A226MP8NUNE/3886932"/>
        <filter val="https://www.digikey.jp/ja/products/detail/samsung-electro-mechanics/CL10B104KA8NNNC/3886664"/>
        <filter val="https://www.digikey.jp/ja/products/detail/samsung-electro-mechanics/CL10B105KA8NNNC/3886842"/>
      </filters>
    </filterColumn>
  </autoFilter>
  <phoneticPr fontId="18"/>
  <hyperlinks>
    <hyperlink ref="F2" r:id="rId1" xr:uid="{211929AA-D97A-4C45-8B32-4B307F705D20}"/>
    <hyperlink ref="F4" r:id="rId2" xr:uid="{46BD9AAB-8ECA-4CDE-A9A1-5EFE10848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GPIOBoard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Amo</dc:creator>
  <cp:lastModifiedBy>天?優太_阿南高専</cp:lastModifiedBy>
  <dcterms:created xsi:type="dcterms:W3CDTF">2025-03-11T12:52:27Z</dcterms:created>
  <dcterms:modified xsi:type="dcterms:W3CDTF">2025-03-11T14:33:47Z</dcterms:modified>
</cp:coreProperties>
</file>