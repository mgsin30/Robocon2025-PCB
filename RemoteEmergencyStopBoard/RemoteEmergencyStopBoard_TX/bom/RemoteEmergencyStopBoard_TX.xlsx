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RemoteEmergencyStopBoard\RemoteEmergencyStopBoard_TX\bom\"/>
    </mc:Choice>
  </mc:AlternateContent>
  <xr:revisionPtr revIDLastSave="0" documentId="13_ncr:1_{83D2A7F2-02DE-4B5A-A69F-5D7FC05E46E1}" xr6:coauthVersionLast="47" xr6:coauthVersionMax="47" xr10:uidLastSave="{00000000-0000-0000-0000-000000000000}"/>
  <bookViews>
    <workbookView xWindow="-105" yWindow="0" windowWidth="14610" windowHeight="15585" xr2:uid="{5C72DDEF-73BE-414A-B301-BCCA8536EF40}"/>
  </bookViews>
  <sheets>
    <sheet name="RemoteEmergencyStopBoard_TX" sheetId="1" r:id="rId1"/>
  </sheets>
  <definedNames>
    <definedName name="_xlnm._FilterDatabase" localSheetId="0" hidden="1">RemoteEmergencyStopBoard_TX!$D$1:$D$13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G13" i="1" l="1"/>
  <c r="G12" i="1"/>
</calcChain>
</file>

<file path=xl/sharedStrings.xml><?xml version="1.0" encoding="utf-8"?>
<sst xmlns="http://schemas.openxmlformats.org/spreadsheetml/2006/main" count="46" uniqueCount="43">
  <si>
    <t>Reference</t>
  </si>
  <si>
    <t>Value</t>
  </si>
  <si>
    <t>Name</t>
  </si>
  <si>
    <t>URL</t>
  </si>
  <si>
    <t>Price</t>
  </si>
  <si>
    <t>Qty</t>
  </si>
  <si>
    <t>C1</t>
  </si>
  <si>
    <t>10u</t>
  </si>
  <si>
    <t>GRM21BR61A226ME44L</t>
  </si>
  <si>
    <t>https://www.digikey.jp/ja/products/detail/murata-electronics/GRM21BR61A226ME44L/4905527</t>
  </si>
  <si>
    <t>D1</t>
  </si>
  <si>
    <t>LED</t>
  </si>
  <si>
    <t>SMLD12BN1WT86</t>
  </si>
  <si>
    <t>https://www.digikey.jp/ja/products/detail/rohm-semiconductor/SMLD12BN1WT86/9826162</t>
  </si>
  <si>
    <t>D2</t>
  </si>
  <si>
    <t>SML-D12D8WT86</t>
  </si>
  <si>
    <t>https://www.digikey.jp/ja/products/detail/rohm-semiconductor/SML-D12D8WT86/1641796</t>
  </si>
  <si>
    <t>J1,J2,J3</t>
  </si>
  <si>
    <t>BATT,EMG</t>
  </si>
  <si>
    <t>B02B-PASK</t>
  </si>
  <si>
    <t>https://www.digikey.jp/ja/products/detail/jst-sales-america-inc/B02B-PASK/926723</t>
  </si>
  <si>
    <t>R1,R2,R4,R5</t>
  </si>
  <si>
    <t>1k</t>
  </si>
  <si>
    <t>ESR03EZPJ102</t>
  </si>
  <si>
    <t>https://www.digikey.jp/ja/products/detail/rohm-semiconductor/ESR03EZPJ102/1762721</t>
  </si>
  <si>
    <t>R3</t>
  </si>
  <si>
    <t>ESR03EZPJ121</t>
  </si>
  <si>
    <t>https://www.digikey.jp/ja/products/detail/rohm-semiconductor/ESR03EZPJ121/1983454</t>
  </si>
  <si>
    <t>SW1</t>
  </si>
  <si>
    <t>PWR</t>
  </si>
  <si>
    <t>SS-12D00G3</t>
  </si>
  <si>
    <t>https://akizukidenshi.com/catalog/g/g115707/</t>
  </si>
  <si>
    <t>SW2,SW3</t>
  </si>
  <si>
    <t>SW1,SW3</t>
  </si>
  <si>
    <t>CS1213AGF260</t>
  </si>
  <si>
    <t>https://www.digikey.jp/ja/products/detail/cit-relay-and-switch/CS1213AGF260/16607763</t>
  </si>
  <si>
    <t>U1</t>
  </si>
  <si>
    <t>RTM-1B</t>
  </si>
  <si>
    <t>https://www.circuitdesign.jp/item/products/telecontrol/rtm-1b/</t>
  </si>
  <si>
    <t>Total</t>
    <phoneticPr fontId="18"/>
  </si>
  <si>
    <t>合計</t>
    <rPh sb="0" eb="2">
      <t>ゴウケイ</t>
    </rPh>
    <phoneticPr fontId="18"/>
  </si>
  <si>
    <t>円</t>
    <rPh sb="0" eb="1">
      <t>エン</t>
    </rPh>
    <phoneticPr fontId="18"/>
  </si>
  <si>
    <t>実質</t>
    <rPh sb="0" eb="2">
      <t>ジッシツ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</si>
</sst>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D5C6-9610-4A2D-84F9-8EB3DD33074E}">
  <sheetPr filterMode="1"/>
  <dimension ref="A1:H13"/>
  <sheetViews>
    <sheetView tabSelected="1" workbookViewId="0">
      <selection activeCell="F2" sqref="F2:F9"/>
    </sheetView>
  </sheetViews>
  <sheetFormatPr defaultRowHeight="18.75" x14ac:dyDescent="0.4"/>
  <cols>
    <col min="3" max="3" width="27" customWidth="1"/>
    <col min="4" max="4" width="18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8" hidden="1" x14ac:dyDescent="0.4">
      <c r="A2" t="s">
        <v>6</v>
      </c>
      <c r="B2" t="s">
        <v>7</v>
      </c>
      <c r="C2" t="s">
        <v>8</v>
      </c>
      <c r="D2" t="s">
        <v>9</v>
      </c>
      <c r="E2">
        <v>48</v>
      </c>
      <c r="F2">
        <v>1</v>
      </c>
      <c r="G2">
        <f>E2*F2</f>
        <v>48</v>
      </c>
    </row>
    <row r="3" spans="1:8" hidden="1" x14ac:dyDescent="0.4">
      <c r="A3" t="s">
        <v>10</v>
      </c>
      <c r="B3" t="s">
        <v>11</v>
      </c>
      <c r="C3" t="s">
        <v>12</v>
      </c>
      <c r="D3" t="s">
        <v>13</v>
      </c>
      <c r="E3">
        <v>46</v>
      </c>
      <c r="F3">
        <v>1</v>
      </c>
      <c r="G3">
        <f t="shared" ref="G3:G10" si="0">E3*F3</f>
        <v>46</v>
      </c>
    </row>
    <row r="4" spans="1:8" hidden="1" x14ac:dyDescent="0.4">
      <c r="A4" t="s">
        <v>14</v>
      </c>
      <c r="B4" t="s">
        <v>11</v>
      </c>
      <c r="C4" t="s">
        <v>15</v>
      </c>
      <c r="D4" t="s">
        <v>16</v>
      </c>
      <c r="E4">
        <v>28</v>
      </c>
      <c r="F4">
        <v>1</v>
      </c>
      <c r="G4">
        <f t="shared" si="0"/>
        <v>28</v>
      </c>
    </row>
    <row r="5" spans="1:8" hidden="1" x14ac:dyDescent="0.4">
      <c r="A5" t="s">
        <v>17</v>
      </c>
      <c r="B5" t="s">
        <v>18</v>
      </c>
      <c r="C5" t="s">
        <v>19</v>
      </c>
      <c r="D5" t="s">
        <v>20</v>
      </c>
      <c r="E5">
        <v>25</v>
      </c>
      <c r="F5">
        <v>3</v>
      </c>
      <c r="G5">
        <f t="shared" si="0"/>
        <v>75</v>
      </c>
    </row>
    <row r="6" spans="1:8" hidden="1" x14ac:dyDescent="0.4">
      <c r="A6" t="s">
        <v>21</v>
      </c>
      <c r="B6" t="s">
        <v>22</v>
      </c>
      <c r="C6" t="s">
        <v>23</v>
      </c>
      <c r="D6" t="s">
        <v>24</v>
      </c>
      <c r="E6">
        <v>21</v>
      </c>
      <c r="F6">
        <v>4</v>
      </c>
      <c r="G6">
        <f t="shared" si="0"/>
        <v>84</v>
      </c>
    </row>
    <row r="7" spans="1:8" hidden="1" x14ac:dyDescent="0.4">
      <c r="A7" t="s">
        <v>25</v>
      </c>
      <c r="B7">
        <v>120</v>
      </c>
      <c r="C7" t="s">
        <v>26</v>
      </c>
      <c r="D7" t="s">
        <v>27</v>
      </c>
      <c r="E7">
        <v>21</v>
      </c>
      <c r="F7">
        <v>1</v>
      </c>
      <c r="G7">
        <f t="shared" si="0"/>
        <v>21</v>
      </c>
    </row>
    <row r="8" spans="1:8" x14ac:dyDescent="0.4">
      <c r="A8" t="s">
        <v>28</v>
      </c>
      <c r="B8" t="s">
        <v>29</v>
      </c>
      <c r="C8" t="s">
        <v>30</v>
      </c>
      <c r="D8" t="s">
        <v>31</v>
      </c>
      <c r="E8">
        <v>20</v>
      </c>
      <c r="F8">
        <v>1</v>
      </c>
      <c r="G8">
        <f t="shared" si="0"/>
        <v>20</v>
      </c>
    </row>
    <row r="9" spans="1:8" hidden="1" x14ac:dyDescent="0.4">
      <c r="A9" t="s">
        <v>32</v>
      </c>
      <c r="B9" t="s">
        <v>33</v>
      </c>
      <c r="C9" t="s">
        <v>34</v>
      </c>
      <c r="D9" t="s">
        <v>35</v>
      </c>
      <c r="E9">
        <v>58</v>
      </c>
      <c r="F9">
        <v>2</v>
      </c>
      <c r="G9">
        <f t="shared" si="0"/>
        <v>116</v>
      </c>
    </row>
    <row r="10" spans="1:8" hidden="1" x14ac:dyDescent="0.4">
      <c r="A10" t="s">
        <v>36</v>
      </c>
      <c r="B10" t="s">
        <v>37</v>
      </c>
      <c r="C10" t="s">
        <v>37</v>
      </c>
      <c r="D10" t="s">
        <v>38</v>
      </c>
      <c r="E10">
        <v>3900</v>
      </c>
      <c r="F10">
        <v>1</v>
      </c>
      <c r="G10">
        <f t="shared" si="0"/>
        <v>3900</v>
      </c>
    </row>
    <row r="11" spans="1:8" hidden="1" x14ac:dyDescent="0.4"/>
    <row r="12" spans="1:8" hidden="1" x14ac:dyDescent="0.4">
      <c r="F12" s="1" t="s">
        <v>40</v>
      </c>
      <c r="G12">
        <f>SUM(G2:G10)</f>
        <v>4338</v>
      </c>
      <c r="H12" t="s">
        <v>41</v>
      </c>
    </row>
    <row r="13" spans="1:8" hidden="1" x14ac:dyDescent="0.4">
      <c r="F13" s="1" t="s">
        <v>42</v>
      </c>
      <c r="G13">
        <f>SUM(G2:G4, G6:G7, G9)</f>
        <v>343</v>
      </c>
      <c r="H13" t="s">
        <v>41</v>
      </c>
    </row>
  </sheetData>
  <autoFilter ref="D1:D13" xr:uid="{3F12D5C6-9610-4A2D-84F9-8EB3DD33074E}">
    <filterColumn colId="0">
      <filters>
        <filter val="https://akizukidenshi.com/catalog/g/g115707/"/>
      </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RemoteEmergencyStopBoard_TX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2025-05-30T09:05:06Z</dcterms:created>
  <dcterms:modified xsi:type="dcterms:W3CDTF">2025-06-01T06:27:30Z</dcterms:modified>
</cp:coreProperties>
</file>