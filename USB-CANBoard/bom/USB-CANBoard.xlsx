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USB-CANBoard\bom\"/>
    </mc:Choice>
  </mc:AlternateContent>
  <xr:revisionPtr revIDLastSave="0" documentId="13_ncr:9_{1D4DD3E2-A478-45F8-944C-75E75447CB09}" xr6:coauthVersionLast="47" xr6:coauthVersionMax="47" xr10:uidLastSave="{00000000-0000-0000-0000-000000000000}"/>
  <bookViews>
    <workbookView xWindow="-120" yWindow="16080" windowWidth="29040" windowHeight="15720" xr2:uid="{1F4C01F9-98AC-4C37-828A-297B8539C2EE}"/>
  </bookViews>
  <sheets>
    <sheet name="USB-CANBoard" sheetId="1" r:id="rId1"/>
  </sheets>
  <calcPr calcId="0"/>
</workbook>
</file>

<file path=xl/calcChain.xml><?xml version="1.0" encoding="utf-8"?>
<calcChain xmlns="http://schemas.openxmlformats.org/spreadsheetml/2006/main">
  <c r="G3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</calcChain>
</file>

<file path=xl/sharedStrings.xml><?xml version="1.0" encoding="utf-8"?>
<sst xmlns="http://schemas.openxmlformats.org/spreadsheetml/2006/main" count="117" uniqueCount="113">
  <si>
    <t>Reference</t>
  </si>
  <si>
    <t>Value</t>
  </si>
  <si>
    <t>Name</t>
  </si>
  <si>
    <t>URL</t>
  </si>
  <si>
    <t>Price</t>
  </si>
  <si>
    <t>Qty</t>
  </si>
  <si>
    <t>C1</t>
  </si>
  <si>
    <t>4.7u</t>
  </si>
  <si>
    <t>GRM188R60J226MEA0D</t>
  </si>
  <si>
    <t>https://www.digikey.jp/ja/products/detail/murata-electronics/GRM188R60J226MEA0D/4280542</t>
  </si>
  <si>
    <t>C2,C7,C13</t>
  </si>
  <si>
    <t>GRM188R60G106ME47D</t>
  </si>
  <si>
    <t xml:space="preserve">https://www.digikey.jp/ja/products/detail/murata-electronics/GRM188R60G106ME47D/702562,https://www.digikey.jp/ja/products/detail/murata-electronics/GRM188R60G106ME47D/702562 </t>
  </si>
  <si>
    <t>C3,C4,C5,C6,C8,C12,C14,C15,C16,C17,C18</t>
  </si>
  <si>
    <t>0.1u</t>
  </si>
  <si>
    <t>GCJ188R91H124KA01D</t>
  </si>
  <si>
    <t>https://www.digikey.jp/ja/products/detail/murata-electronics/GCJ188R91H124KA01D/13401917</t>
  </si>
  <si>
    <t>C9</t>
  </si>
  <si>
    <t>1u</t>
  </si>
  <si>
    <t>GRM188D71H105ME01W</t>
  </si>
  <si>
    <t>https://www.digikey.jp/ja/products/detail/murata-electronics/GRM188D71H105ME01W/22528412</t>
  </si>
  <si>
    <t>C10,C11</t>
  </si>
  <si>
    <t>12p</t>
  </si>
  <si>
    <t>GCM1885C2A120JA16D</t>
  </si>
  <si>
    <t>https://www.digikey.jp/ja/products/detail/murata-electronics/GCM1885C2A120JA16D/2591683</t>
  </si>
  <si>
    <t>D1,D2</t>
  </si>
  <si>
    <t>LED</t>
  </si>
  <si>
    <t>SML-D12D8WT86</t>
  </si>
  <si>
    <t>https://www.digikey.jp/ja/products/detail/rohm-semiconductor/SML-D12D8WT86/1641796</t>
  </si>
  <si>
    <t>D3,D4</t>
  </si>
  <si>
    <t>D</t>
  </si>
  <si>
    <t>PMEG3010ER,115</t>
  </si>
  <si>
    <t xml:space="preserve">https://www.digikey.jp/ja/products/detail/nexperia-usa-inc/PMEG3010ER-115/2119868 </t>
  </si>
  <si>
    <t>D5,D6,D7,D8,D9</t>
  </si>
  <si>
    <t>CAN1_RX,CAN1_TX,CAN2_RX,CAN2_TX,LED</t>
  </si>
  <si>
    <t>SML-D14MWT86A</t>
  </si>
  <si>
    <t>https://www.digikey.jp/ja/products/detail/rohm-semiconductor/SML-D14MWT86A/9448204</t>
  </si>
  <si>
    <t>D10,D11</t>
  </si>
  <si>
    <t>CAN_R</t>
  </si>
  <si>
    <t>SMLD12BN1WT86</t>
  </si>
  <si>
    <t>https://www.digikey.jp/ja/products/detail/rohm-semiconductor/SMLD12BN1WT86/9826162</t>
  </si>
  <si>
    <t>F1,F2</t>
  </si>
  <si>
    <t>Polyfuse</t>
  </si>
  <si>
    <t>MF-FSMF020X-2</t>
  </si>
  <si>
    <t>https://akizukidenshi.com/catalog/g/g114311/</t>
  </si>
  <si>
    <t>FB1</t>
  </si>
  <si>
    <t>FerriteBead</t>
  </si>
  <si>
    <t>BLM18KG601SN1D</t>
  </si>
  <si>
    <t>https://www.digikey.jp/ja/products/detail/murata-electronics/BLM18KG601SN1D/1982766</t>
  </si>
  <si>
    <t>J1,J2</t>
  </si>
  <si>
    <t>DEBUG,USB_FS</t>
  </si>
  <si>
    <t>5077CR-16-SMC2-BK-TR</t>
  </si>
  <si>
    <t>https://akizukidenshi.com/catalog/g/g114356/</t>
  </si>
  <si>
    <t>J3,J4</t>
  </si>
  <si>
    <t>CAN1,CAN2</t>
  </si>
  <si>
    <t>S04B-PASK-2</t>
  </si>
  <si>
    <t>https://www.digikey.jp/ja/products/detail/jst-sales-america-inc/S04B-PASK-2/926755</t>
  </si>
  <si>
    <t>J5</t>
  </si>
  <si>
    <t>SWD</t>
  </si>
  <si>
    <t>SM04B-SRSS-TB</t>
  </si>
  <si>
    <t>https://www.digikey.jp/ja/products/detail/jst-sales-america-inc/SM04B-SRSS-TB/926710</t>
  </si>
  <si>
    <t>R1,R2,R15,R17</t>
  </si>
  <si>
    <t>ESR03EZPJ431</t>
  </si>
  <si>
    <t>https://www.digikey.jp/ja/products/detail/rohm-semiconductor/ESR03EZPJ431/4051257</t>
  </si>
  <si>
    <t>R3,R4</t>
  </si>
  <si>
    <t>10k</t>
  </si>
  <si>
    <t>ESR03EZPJ103</t>
  </si>
  <si>
    <t>https://www.digikey.jp/ja/products/detail/rohm-semiconductor/ESR03EZPJ103/1762722</t>
  </si>
  <si>
    <t>R5,R6,R7,R8</t>
  </si>
  <si>
    <t>5.1k</t>
  </si>
  <si>
    <t>ESR03EZPJ512</t>
  </si>
  <si>
    <t>https://www.digikey.jp/ja/products/detail/rohm-semiconductor/ESR03EZPJ512/1762735</t>
  </si>
  <si>
    <t>R9,R10,R11,R12,R13,R18</t>
  </si>
  <si>
    <t>100,96</t>
  </si>
  <si>
    <t>ESR03EZPJ101</t>
  </si>
  <si>
    <t>https://www.digikey.jp/ja/products/detail/rohm-semiconductor/ESR03EZPJ101/1983452</t>
  </si>
  <si>
    <t>R14,R16</t>
  </si>
  <si>
    <t>ESR03EZPJ121</t>
  </si>
  <si>
    <t>https://www.digikey.jp/ja/products/detail/rohm-semiconductor/ESR03EZPJ121/1983454</t>
  </si>
  <si>
    <t>R19</t>
  </si>
  <si>
    <t>ESR03EZPF5900</t>
  </si>
  <si>
    <t>https://www.digikey.jp/ja/products/detail/rohm-semiconductor/ESR03EZPF5900/20506305</t>
  </si>
  <si>
    <t>R20</t>
  </si>
  <si>
    <t>ESR03EZPJ301</t>
  </si>
  <si>
    <t>https://www.digikey.jp/ja/products/detail/rohm-semiconductor/ESR03EZPJ301/1762729</t>
  </si>
  <si>
    <t>SW1</t>
  </si>
  <si>
    <t>RESET</t>
  </si>
  <si>
    <t>TVAF06-A020B-R</t>
  </si>
  <si>
    <t>https://akizukidenshi.com/catalog/g/g114888/</t>
  </si>
  <si>
    <t>SW2,SW3</t>
  </si>
  <si>
    <t>SLW-913535-2A-SMT</t>
  </si>
  <si>
    <t>https://www.digikey.jp/ja/products/detail/same-sky-formerly-cui-devices/SLW-913535-2A-SMT/21259974</t>
  </si>
  <si>
    <t>U2</t>
  </si>
  <si>
    <t>TLV1117-33</t>
  </si>
  <si>
    <t>TLV1117-33CDCYR</t>
  </si>
  <si>
    <t>https://www.digikey.jp/ja/products/detail/texas-instruments/TLV1117-33CDCYR/1216718</t>
  </si>
  <si>
    <t>U3</t>
  </si>
  <si>
    <t>CH340E</t>
  </si>
  <si>
    <t>https://akizukidenshi.com/catalog/g/g113543/</t>
  </si>
  <si>
    <t>U4,U5</t>
  </si>
  <si>
    <t>ISO1044BD</t>
  </si>
  <si>
    <t>https://www.digikey.jp/ja/products/detail/texas-instruments/ISO1044BD/13237251</t>
  </si>
  <si>
    <t>U6</t>
  </si>
  <si>
    <t>LED_GRB</t>
  </si>
  <si>
    <t>SMLVN6RGB1W1</t>
  </si>
  <si>
    <t>https://www.digikey.jp/ja/products/detail/rohm-semiconductor/SMLVN6RGB1W1/5053781</t>
  </si>
  <si>
    <t>Y1</t>
  </si>
  <si>
    <t>26MHz</t>
  </si>
  <si>
    <t>XRCGB26M000F1SADR0</t>
  </si>
  <si>
    <t>https://www.digikey.jp/ja/products/detail/murata-electronics/XRCGB26M000F1SADR0/21662900?s=N4IgTCBcDaIBoCUDCBxAQmAbAWQAz4DEBGAZQEEARBXEAXQF8g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</si>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</sst>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8D4F-F3B8-4A49-8E20-652FF4CA9CED}">
  <dimension ref="A1:H31"/>
  <sheetViews>
    <sheetView tabSelected="1" workbookViewId="0">
      <selection activeCell="I14" sqref="I14"/>
    </sheetView>
  </sheetViews>
  <sheetFormatPr defaultRowHeight="18.75" x14ac:dyDescent="0.4"/>
  <cols>
    <col min="4" max="4" width="36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110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>
        <v>30</v>
      </c>
      <c r="F2">
        <v>1</v>
      </c>
      <c r="G2">
        <f>E2*F2</f>
        <v>30</v>
      </c>
    </row>
    <row r="3" spans="1:7" x14ac:dyDescent="0.4">
      <c r="A3" t="s">
        <v>10</v>
      </c>
      <c r="B3" t="s">
        <v>7</v>
      </c>
      <c r="C3" t="s">
        <v>11</v>
      </c>
      <c r="D3" t="s">
        <v>12</v>
      </c>
      <c r="E3">
        <v>19</v>
      </c>
      <c r="F3">
        <v>3</v>
      </c>
      <c r="G3">
        <f t="shared" ref="G3:G29" si="0">E3*F3</f>
        <v>57</v>
      </c>
    </row>
    <row r="4" spans="1:7" x14ac:dyDescent="0.4">
      <c r="A4" t="s">
        <v>13</v>
      </c>
      <c r="B4" t="s">
        <v>14</v>
      </c>
      <c r="C4" t="s">
        <v>15</v>
      </c>
      <c r="D4" t="s">
        <v>16</v>
      </c>
      <c r="E4">
        <v>36</v>
      </c>
      <c r="F4">
        <v>11</v>
      </c>
      <c r="G4">
        <f t="shared" si="0"/>
        <v>396</v>
      </c>
    </row>
    <row r="5" spans="1:7" x14ac:dyDescent="0.4">
      <c r="A5" t="s">
        <v>17</v>
      </c>
      <c r="B5" t="s">
        <v>18</v>
      </c>
      <c r="C5" t="s">
        <v>19</v>
      </c>
      <c r="D5" t="s">
        <v>20</v>
      </c>
      <c r="E5">
        <v>47</v>
      </c>
      <c r="F5">
        <v>1</v>
      </c>
      <c r="G5">
        <f t="shared" si="0"/>
        <v>47</v>
      </c>
    </row>
    <row r="6" spans="1:7" x14ac:dyDescent="0.4">
      <c r="A6" t="s">
        <v>21</v>
      </c>
      <c r="B6" t="s">
        <v>22</v>
      </c>
      <c r="C6" t="s">
        <v>23</v>
      </c>
      <c r="D6" t="s">
        <v>24</v>
      </c>
      <c r="E6">
        <v>15</v>
      </c>
      <c r="F6">
        <v>2</v>
      </c>
      <c r="G6">
        <f t="shared" si="0"/>
        <v>30</v>
      </c>
    </row>
    <row r="7" spans="1:7" x14ac:dyDescent="0.4">
      <c r="A7" t="s">
        <v>25</v>
      </c>
      <c r="B7" t="s">
        <v>26</v>
      </c>
      <c r="C7" t="s">
        <v>27</v>
      </c>
      <c r="D7" t="s">
        <v>28</v>
      </c>
      <c r="E7">
        <v>30</v>
      </c>
      <c r="F7">
        <v>2</v>
      </c>
      <c r="G7">
        <f t="shared" si="0"/>
        <v>60</v>
      </c>
    </row>
    <row r="8" spans="1:7" x14ac:dyDescent="0.4">
      <c r="A8" t="s">
        <v>29</v>
      </c>
      <c r="B8" t="s">
        <v>30</v>
      </c>
      <c r="C8" t="s">
        <v>31</v>
      </c>
      <c r="D8" t="s">
        <v>32</v>
      </c>
      <c r="E8">
        <v>30</v>
      </c>
      <c r="F8">
        <v>2</v>
      </c>
      <c r="G8">
        <f t="shared" si="0"/>
        <v>60</v>
      </c>
    </row>
    <row r="9" spans="1:7" x14ac:dyDescent="0.4">
      <c r="A9" t="s">
        <v>33</v>
      </c>
      <c r="B9" t="s">
        <v>34</v>
      </c>
      <c r="C9" t="s">
        <v>35</v>
      </c>
      <c r="D9" t="s">
        <v>36</v>
      </c>
      <c r="E9">
        <v>53</v>
      </c>
      <c r="F9">
        <v>5</v>
      </c>
      <c r="G9">
        <f t="shared" si="0"/>
        <v>265</v>
      </c>
    </row>
    <row r="10" spans="1:7" x14ac:dyDescent="0.4">
      <c r="A10" t="s">
        <v>37</v>
      </c>
      <c r="B10" t="s">
        <v>38</v>
      </c>
      <c r="C10" t="s">
        <v>39</v>
      </c>
      <c r="D10" t="s">
        <v>40</v>
      </c>
      <c r="E10">
        <v>48</v>
      </c>
      <c r="F10">
        <v>2</v>
      </c>
      <c r="G10">
        <f t="shared" si="0"/>
        <v>96</v>
      </c>
    </row>
    <row r="11" spans="1:7" x14ac:dyDescent="0.4">
      <c r="A11" t="s">
        <v>41</v>
      </c>
      <c r="B11" t="s">
        <v>42</v>
      </c>
      <c r="C11" t="s">
        <v>43</v>
      </c>
      <c r="D11" t="s">
        <v>44</v>
      </c>
      <c r="E11">
        <v>20</v>
      </c>
      <c r="F11">
        <v>2</v>
      </c>
      <c r="G11">
        <f t="shared" si="0"/>
        <v>40</v>
      </c>
    </row>
    <row r="12" spans="1:7" x14ac:dyDescent="0.4">
      <c r="A12" t="s">
        <v>45</v>
      </c>
      <c r="B12" t="s">
        <v>46</v>
      </c>
      <c r="C12" t="s">
        <v>47</v>
      </c>
      <c r="D12" t="s">
        <v>48</v>
      </c>
      <c r="E12">
        <v>16</v>
      </c>
      <c r="F12">
        <v>1</v>
      </c>
      <c r="G12">
        <f t="shared" si="0"/>
        <v>16</v>
      </c>
    </row>
    <row r="13" spans="1:7" x14ac:dyDescent="0.4">
      <c r="A13" t="s">
        <v>49</v>
      </c>
      <c r="B13" t="s">
        <v>50</v>
      </c>
      <c r="C13" t="s">
        <v>51</v>
      </c>
      <c r="D13" t="s">
        <v>52</v>
      </c>
      <c r="E13">
        <v>110</v>
      </c>
      <c r="F13">
        <v>2</v>
      </c>
      <c r="G13">
        <f t="shared" si="0"/>
        <v>220</v>
      </c>
    </row>
    <row r="14" spans="1:7" x14ac:dyDescent="0.4">
      <c r="A14" t="s">
        <v>53</v>
      </c>
      <c r="B14" t="s">
        <v>54</v>
      </c>
      <c r="C14" t="s">
        <v>55</v>
      </c>
      <c r="D14" t="s">
        <v>56</v>
      </c>
      <c r="E14">
        <v>46</v>
      </c>
      <c r="F14">
        <v>2</v>
      </c>
      <c r="G14">
        <f t="shared" si="0"/>
        <v>92</v>
      </c>
    </row>
    <row r="15" spans="1:7" x14ac:dyDescent="0.4">
      <c r="A15" t="s">
        <v>57</v>
      </c>
      <c r="B15" t="s">
        <v>58</v>
      </c>
      <c r="C15" t="s">
        <v>59</v>
      </c>
      <c r="D15" t="s">
        <v>60</v>
      </c>
      <c r="E15">
        <v>81</v>
      </c>
      <c r="F15">
        <v>1</v>
      </c>
      <c r="G15">
        <f t="shared" si="0"/>
        <v>81</v>
      </c>
    </row>
    <row r="16" spans="1:7" x14ac:dyDescent="0.4">
      <c r="A16" t="s">
        <v>61</v>
      </c>
      <c r="B16" s="1">
        <v>420430</v>
      </c>
      <c r="C16" t="s">
        <v>62</v>
      </c>
      <c r="D16" t="s">
        <v>63</v>
      </c>
      <c r="E16">
        <v>22</v>
      </c>
      <c r="F16">
        <v>4</v>
      </c>
      <c r="G16">
        <f t="shared" si="0"/>
        <v>88</v>
      </c>
    </row>
    <row r="17" spans="1:8" x14ac:dyDescent="0.4">
      <c r="A17" t="s">
        <v>64</v>
      </c>
      <c r="B17" t="s">
        <v>65</v>
      </c>
      <c r="C17" t="s">
        <v>66</v>
      </c>
      <c r="D17" t="s">
        <v>67</v>
      </c>
      <c r="E17">
        <v>22</v>
      </c>
      <c r="F17">
        <v>2</v>
      </c>
      <c r="G17">
        <f t="shared" si="0"/>
        <v>44</v>
      </c>
    </row>
    <row r="18" spans="1:8" x14ac:dyDescent="0.4">
      <c r="A18" t="s">
        <v>68</v>
      </c>
      <c r="B18" t="s">
        <v>69</v>
      </c>
      <c r="C18" t="s">
        <v>70</v>
      </c>
      <c r="D18" t="s">
        <v>71</v>
      </c>
      <c r="E18">
        <v>22</v>
      </c>
      <c r="F18">
        <v>4</v>
      </c>
      <c r="G18">
        <f t="shared" si="0"/>
        <v>88</v>
      </c>
    </row>
    <row r="19" spans="1:8" x14ac:dyDescent="0.4">
      <c r="A19" t="s">
        <v>72</v>
      </c>
      <c r="B19" t="s">
        <v>73</v>
      </c>
      <c r="C19" t="s">
        <v>74</v>
      </c>
      <c r="D19" t="s">
        <v>75</v>
      </c>
      <c r="E19">
        <v>22</v>
      </c>
      <c r="F19">
        <v>6</v>
      </c>
      <c r="G19">
        <f t="shared" si="0"/>
        <v>132</v>
      </c>
    </row>
    <row r="20" spans="1:8" x14ac:dyDescent="0.4">
      <c r="A20" t="s">
        <v>76</v>
      </c>
      <c r="B20">
        <v>120</v>
      </c>
      <c r="C20" t="s">
        <v>77</v>
      </c>
      <c r="D20" t="s">
        <v>78</v>
      </c>
      <c r="E20">
        <v>22</v>
      </c>
      <c r="F20">
        <v>2</v>
      </c>
      <c r="G20">
        <f t="shared" si="0"/>
        <v>44</v>
      </c>
    </row>
    <row r="21" spans="1:8" x14ac:dyDescent="0.4">
      <c r="A21" t="s">
        <v>79</v>
      </c>
      <c r="B21">
        <v>600</v>
      </c>
      <c r="C21" t="s">
        <v>80</v>
      </c>
      <c r="D21" t="s">
        <v>81</v>
      </c>
      <c r="E21">
        <v>22</v>
      </c>
      <c r="F21">
        <v>1</v>
      </c>
      <c r="G21">
        <f t="shared" si="0"/>
        <v>22</v>
      </c>
    </row>
    <row r="22" spans="1:8" x14ac:dyDescent="0.4">
      <c r="A22" t="s">
        <v>82</v>
      </c>
      <c r="B22">
        <v>300</v>
      </c>
      <c r="C22" t="s">
        <v>83</v>
      </c>
      <c r="D22" t="s">
        <v>84</v>
      </c>
      <c r="E22">
        <v>22</v>
      </c>
      <c r="F22">
        <v>1</v>
      </c>
      <c r="G22">
        <f t="shared" si="0"/>
        <v>22</v>
      </c>
    </row>
    <row r="23" spans="1:8" x14ac:dyDescent="0.4">
      <c r="A23" t="s">
        <v>85</v>
      </c>
      <c r="B23" t="s">
        <v>86</v>
      </c>
      <c r="C23" t="s">
        <v>87</v>
      </c>
      <c r="D23" t="s">
        <v>88</v>
      </c>
      <c r="E23">
        <v>22</v>
      </c>
      <c r="F23">
        <v>1</v>
      </c>
      <c r="G23">
        <f t="shared" si="0"/>
        <v>22</v>
      </c>
    </row>
    <row r="24" spans="1:8" x14ac:dyDescent="0.4">
      <c r="A24" t="s">
        <v>89</v>
      </c>
      <c r="B24" t="s">
        <v>38</v>
      </c>
      <c r="C24" t="s">
        <v>90</v>
      </c>
      <c r="D24" t="s">
        <v>91</v>
      </c>
      <c r="E24">
        <v>87</v>
      </c>
      <c r="F24">
        <v>2</v>
      </c>
      <c r="G24">
        <f t="shared" si="0"/>
        <v>174</v>
      </c>
    </row>
    <row r="25" spans="1:8" x14ac:dyDescent="0.4">
      <c r="A25" t="s">
        <v>92</v>
      </c>
      <c r="B25" t="s">
        <v>93</v>
      </c>
      <c r="C25" t="s">
        <v>94</v>
      </c>
      <c r="D25" t="s">
        <v>95</v>
      </c>
      <c r="E25">
        <v>63</v>
      </c>
      <c r="F25">
        <v>1</v>
      </c>
      <c r="G25">
        <f t="shared" si="0"/>
        <v>63</v>
      </c>
    </row>
    <row r="26" spans="1:8" x14ac:dyDescent="0.4">
      <c r="A26" t="s">
        <v>96</v>
      </c>
      <c r="B26" t="s">
        <v>97</v>
      </c>
      <c r="C26" t="s">
        <v>97</v>
      </c>
      <c r="D26" t="s">
        <v>98</v>
      </c>
      <c r="E26">
        <v>90</v>
      </c>
      <c r="F26">
        <v>1</v>
      </c>
      <c r="G26">
        <f t="shared" si="0"/>
        <v>90</v>
      </c>
    </row>
    <row r="27" spans="1:8" x14ac:dyDescent="0.4">
      <c r="A27" t="s">
        <v>99</v>
      </c>
      <c r="B27" t="s">
        <v>100</v>
      </c>
      <c r="C27" t="s">
        <v>100</v>
      </c>
      <c r="D27" t="s">
        <v>101</v>
      </c>
      <c r="E27">
        <v>540</v>
      </c>
      <c r="F27">
        <v>2</v>
      </c>
      <c r="G27">
        <f t="shared" si="0"/>
        <v>1080</v>
      </c>
    </row>
    <row r="28" spans="1:8" x14ac:dyDescent="0.4">
      <c r="A28" t="s">
        <v>102</v>
      </c>
      <c r="B28" t="s">
        <v>103</v>
      </c>
      <c r="C28" t="s">
        <v>104</v>
      </c>
      <c r="D28" t="s">
        <v>105</v>
      </c>
      <c r="E28">
        <v>244</v>
      </c>
      <c r="F28">
        <v>1</v>
      </c>
      <c r="G28">
        <f t="shared" si="0"/>
        <v>244</v>
      </c>
    </row>
    <row r="29" spans="1:8" x14ac:dyDescent="0.4">
      <c r="A29" t="s">
        <v>106</v>
      </c>
      <c r="B29" t="s">
        <v>107</v>
      </c>
      <c r="C29" t="s">
        <v>108</v>
      </c>
      <c r="D29" t="s">
        <v>109</v>
      </c>
      <c r="E29">
        <v>50</v>
      </c>
      <c r="F29">
        <v>1</v>
      </c>
      <c r="G29">
        <f t="shared" si="0"/>
        <v>50</v>
      </c>
    </row>
    <row r="31" spans="1:8" x14ac:dyDescent="0.4">
      <c r="F31" t="s">
        <v>111</v>
      </c>
      <c r="G31">
        <f>SUM(G2:G29)</f>
        <v>3653</v>
      </c>
      <c r="H31" t="s">
        <v>112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USB-CANBoard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2025-07-12T12:38:34Z</dcterms:created>
  <dcterms:modified xsi:type="dcterms:W3CDTF">2025-07-12T12:50:27Z</dcterms:modified>
</cp:coreProperties>
</file>