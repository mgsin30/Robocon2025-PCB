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god\Documents\ロボット研究部\基板\Robocon2025-PCB\ConverterBoard\bom\"/>
    </mc:Choice>
  </mc:AlternateContent>
  <xr:revisionPtr revIDLastSave="0" documentId="13_ncr:1_{D47EBED2-A8C7-4B7F-A860-B572CDE3BE66}" xr6:coauthVersionLast="47" xr6:coauthVersionMax="47" xr10:uidLastSave="{00000000-0000-0000-0000-000000000000}"/>
  <bookViews>
    <workbookView xWindow="-105" yWindow="0" windowWidth="14610" windowHeight="15585" xr2:uid="{E87A72D3-F4C2-4E56-AF63-3913EB247CB7}"/>
  </bookViews>
  <sheets>
    <sheet name="ConverterBoard" sheetId="1" r:id="rId1"/>
  </sheets>
  <definedNames>
    <definedName name="_xlnm._FilterDatabase" localSheetId="0" hidden="1">ConverterBoard!$D$1:$D$19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3" i="1"/>
  <c r="G4" i="1"/>
  <c r="G6" i="1"/>
  <c r="G7" i="1"/>
  <c r="G8" i="1"/>
  <c r="G9" i="1"/>
  <c r="G10" i="1"/>
  <c r="G19" i="1" s="1"/>
  <c r="G11" i="1"/>
  <c r="G12" i="1"/>
  <c r="G13" i="1"/>
  <c r="G14" i="1"/>
  <c r="G15" i="1"/>
  <c r="G16" i="1"/>
  <c r="G2" i="1"/>
  <c r="G18" i="1" l="1"/>
</calcChain>
</file>

<file path=xl/sharedStrings.xml><?xml version="1.0" encoding="utf-8"?>
<sst xmlns="http://schemas.openxmlformats.org/spreadsheetml/2006/main" count="71" uniqueCount="69">
  <si>
    <t>Reference</t>
  </si>
  <si>
    <t>Value</t>
  </si>
  <si>
    <t>Name</t>
  </si>
  <si>
    <t>URL</t>
  </si>
  <si>
    <t>Price</t>
  </si>
  <si>
    <t>Qty</t>
  </si>
  <si>
    <t>C1,C2,C3,C4,C5,C6</t>
  </si>
  <si>
    <t>4.7u</t>
  </si>
  <si>
    <t>GCJ31CC71E106MA15L</t>
  </si>
  <si>
    <t>https://www.digikey.jp/ja/products/detail/murata-electronics/GCJ31CC71E106MA15L/10694168</t>
  </si>
  <si>
    <t>C7,C8,C9</t>
  </si>
  <si>
    <t>10n</t>
  </si>
  <si>
    <t>GRM1885C1H103JA01D</t>
  </si>
  <si>
    <t>https://www.digikey.jp/ja/products/detail/murata-electronics/GRM1885C1H103JA01D/4421555</t>
  </si>
  <si>
    <t>C10,C11,C12</t>
  </si>
  <si>
    <t>82p</t>
  </si>
  <si>
    <t>GCM1885C2A820JA16D</t>
  </si>
  <si>
    <t>https://www.digikey.jp/ja/products/detail/murata-electronics/GCM1885C2A820JA16D/2591816</t>
  </si>
  <si>
    <t>C13,C14,C15,C16,C17,C18,C19,C20,C21,C22,C23,C24</t>
  </si>
  <si>
    <t>22u</t>
  </si>
  <si>
    <t>CL31A226KAHNNNE</t>
  </si>
  <si>
    <t>https://www.digikey.jp/ja/products/detail/samsung-electro-mechanics/CL31A226KAHNNNE/3888705</t>
  </si>
  <si>
    <t>D1,D2,D3</t>
  </si>
  <si>
    <t>D_Schottky</t>
  </si>
  <si>
    <t>B550C-13-F</t>
  </si>
  <si>
    <t>https://www.digikey.jp/ja/products/detail/diodes-incorporated/B550C-13-F/768772</t>
  </si>
  <si>
    <t>J1</t>
  </si>
  <si>
    <t>PWR_IN</t>
  </si>
  <si>
    <t>XT60U-M</t>
  </si>
  <si>
    <t>https://akizukidenshi.com/catalog/g/g117953/</t>
  </si>
  <si>
    <t>J2,J3,J4</t>
  </si>
  <si>
    <t>PWR_OUT1,PWR_OUT2,PWR_OUT3</t>
  </si>
  <si>
    <t>XT30U-F</t>
  </si>
  <si>
    <t>https://akizukidenshi.com/catalog/g/g117950/</t>
  </si>
  <si>
    <t>L1</t>
  </si>
  <si>
    <t>15u</t>
  </si>
  <si>
    <t>NR10050T150M</t>
  </si>
  <si>
    <t>https://www.digikey.jp/ja/products/detail/taiyo-yuden/NR10050T150M/1171798</t>
  </si>
  <si>
    <t>L2</t>
  </si>
  <si>
    <t>NR10050T220M</t>
  </si>
  <si>
    <t>https://www.digikey.jp/ja/products/detail/taiyo-yuden/NR10050T220M/1007973</t>
  </si>
  <si>
    <t>L3</t>
  </si>
  <si>
    <t>33u</t>
  </si>
  <si>
    <t>NR10050T330M</t>
  </si>
  <si>
    <t>https://www.digikey.jp/ja/products/detail/taiyo-yuden/NR10050T330M/1171799</t>
  </si>
  <si>
    <t>R1,R3,R5</t>
  </si>
  <si>
    <t>100k</t>
  </si>
  <si>
    <t>RN73H1JTTD1003B25</t>
  </si>
  <si>
    <t>https://www.digikey.jp/ja/products/detail/koa-speer-electronics-inc/RN73H1JTTD1003B25/10675246</t>
  </si>
  <si>
    <t>R2</t>
  </si>
  <si>
    <t>31.6k</t>
  </si>
  <si>
    <t>RN73H1JTTD3162B25</t>
  </si>
  <si>
    <t>https://www.digikey.jp/ja/products/detail/koa-speer-electronics-inc/RN73H1JTTD3162B25/10683077</t>
  </si>
  <si>
    <t>R4</t>
  </si>
  <si>
    <t>22.9k</t>
  </si>
  <si>
    <t>RN73R1JTTD2292B25</t>
  </si>
  <si>
    <t>https://www.digikey.jp/ja/products/detail/koa-speer-electronics-inc/RN73R1JTTD2292B25/10013006</t>
  </si>
  <si>
    <t>R6</t>
  </si>
  <si>
    <t>11.3k</t>
  </si>
  <si>
    <t>RG1608P-1132-B-T5</t>
  </si>
  <si>
    <t>https://www.digikey.jp/ja/products/detail/susumu/RG1608P-1132-B-T5/1240459</t>
  </si>
  <si>
    <t>U1,U2,U3</t>
  </si>
  <si>
    <t>RT6285</t>
  </si>
  <si>
    <t>RT6285GSP</t>
  </si>
  <si>
    <t>https://www.digikey.jp/ja/products/detail/richtek-usa-inc/RT6285GSP/16376754</t>
  </si>
  <si>
    <t>Total</t>
    <phoneticPr fontId="18"/>
  </si>
  <si>
    <t>合計</t>
    <rPh sb="0" eb="2">
      <t>ゴウケイ</t>
    </rPh>
    <phoneticPr fontId="18"/>
  </si>
  <si>
    <t>円</t>
    <rPh sb="0" eb="1">
      <t>エン</t>
    </rPh>
    <phoneticPr fontId="18"/>
  </si>
  <si>
    <t>実質</t>
    <rPh sb="0" eb="2">
      <t>ジッシツ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</si>
</sst>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1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7E483-4884-4EEE-A702-A72D577E2690}">
  <sheetPr filterMode="1"/>
  <dimension ref="A1:H19"/>
  <sheetViews>
    <sheetView tabSelected="1" workbookViewId="0">
      <selection activeCell="F2" sqref="F2:F16"/>
    </sheetView>
  </sheetViews>
  <sheetFormatPr defaultRowHeight="18.75" x14ac:dyDescent="0.4"/>
  <cols>
    <col min="4" max="4" width="18.375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65</v>
      </c>
    </row>
    <row r="2" spans="1:7" hidden="1" x14ac:dyDescent="0.4">
      <c r="A2" t="s">
        <v>6</v>
      </c>
      <c r="B2" t="s">
        <v>7</v>
      </c>
      <c r="C2" t="s">
        <v>8</v>
      </c>
      <c r="D2" t="s">
        <v>9</v>
      </c>
      <c r="E2">
        <v>108</v>
      </c>
      <c r="F2">
        <v>6</v>
      </c>
      <c r="G2">
        <f>E2*F2</f>
        <v>648</v>
      </c>
    </row>
    <row r="3" spans="1:7" hidden="1" x14ac:dyDescent="0.4">
      <c r="A3" t="s">
        <v>10</v>
      </c>
      <c r="B3" t="s">
        <v>11</v>
      </c>
      <c r="C3" t="s">
        <v>12</v>
      </c>
      <c r="D3" t="s">
        <v>13</v>
      </c>
      <c r="E3">
        <v>19</v>
      </c>
      <c r="F3">
        <v>3</v>
      </c>
      <c r="G3">
        <f t="shared" ref="G3:G16" si="0">E3*F3</f>
        <v>57</v>
      </c>
    </row>
    <row r="4" spans="1:7" hidden="1" x14ac:dyDescent="0.4">
      <c r="A4" t="s">
        <v>14</v>
      </c>
      <c r="B4" t="s">
        <v>15</v>
      </c>
      <c r="C4" t="s">
        <v>16</v>
      </c>
      <c r="D4" t="s">
        <v>17</v>
      </c>
      <c r="E4">
        <v>15</v>
      </c>
      <c r="F4">
        <v>3</v>
      </c>
      <c r="G4">
        <f t="shared" si="0"/>
        <v>45</v>
      </c>
    </row>
    <row r="5" spans="1:7" hidden="1" x14ac:dyDescent="0.4">
      <c r="A5" t="s">
        <v>18</v>
      </c>
      <c r="B5" t="s">
        <v>19</v>
      </c>
      <c r="C5" t="s">
        <v>20</v>
      </c>
      <c r="D5" t="s">
        <v>21</v>
      </c>
      <c r="E5">
        <v>12.9</v>
      </c>
      <c r="F5">
        <v>12</v>
      </c>
      <c r="G5" s="2">
        <f>E5*F5</f>
        <v>154.80000000000001</v>
      </c>
    </row>
    <row r="6" spans="1:7" hidden="1" x14ac:dyDescent="0.4">
      <c r="A6" t="s">
        <v>22</v>
      </c>
      <c r="B6" t="s">
        <v>23</v>
      </c>
      <c r="C6" t="s">
        <v>24</v>
      </c>
      <c r="D6" t="s">
        <v>25</v>
      </c>
      <c r="E6">
        <v>96</v>
      </c>
      <c r="F6">
        <v>3</v>
      </c>
      <c r="G6">
        <f t="shared" si="0"/>
        <v>288</v>
      </c>
    </row>
    <row r="7" spans="1:7" x14ac:dyDescent="0.4">
      <c r="A7" t="s">
        <v>26</v>
      </c>
      <c r="B7" t="s">
        <v>27</v>
      </c>
      <c r="C7" t="s">
        <v>28</v>
      </c>
      <c r="D7" t="s">
        <v>29</v>
      </c>
      <c r="E7">
        <v>60</v>
      </c>
      <c r="F7">
        <v>1</v>
      </c>
      <c r="G7">
        <f t="shared" si="0"/>
        <v>60</v>
      </c>
    </row>
    <row r="8" spans="1:7" x14ac:dyDescent="0.4">
      <c r="A8" t="s">
        <v>30</v>
      </c>
      <c r="B8" t="s">
        <v>31</v>
      </c>
      <c r="C8" t="s">
        <v>32</v>
      </c>
      <c r="D8" t="s">
        <v>33</v>
      </c>
      <c r="E8">
        <v>50</v>
      </c>
      <c r="F8">
        <v>3</v>
      </c>
      <c r="G8">
        <f t="shared" si="0"/>
        <v>150</v>
      </c>
    </row>
    <row r="9" spans="1:7" hidden="1" x14ac:dyDescent="0.4">
      <c r="A9" t="s">
        <v>34</v>
      </c>
      <c r="B9" t="s">
        <v>35</v>
      </c>
      <c r="C9" t="s">
        <v>36</v>
      </c>
      <c r="D9" t="s">
        <v>37</v>
      </c>
      <c r="E9">
        <v>103</v>
      </c>
      <c r="F9">
        <v>1</v>
      </c>
      <c r="G9">
        <f t="shared" si="0"/>
        <v>103</v>
      </c>
    </row>
    <row r="10" spans="1:7" hidden="1" x14ac:dyDescent="0.4">
      <c r="A10" t="s">
        <v>38</v>
      </c>
      <c r="B10" t="s">
        <v>19</v>
      </c>
      <c r="C10" t="s">
        <v>39</v>
      </c>
      <c r="D10" t="s">
        <v>40</v>
      </c>
      <c r="E10">
        <v>103</v>
      </c>
      <c r="F10">
        <v>1</v>
      </c>
      <c r="G10">
        <f t="shared" si="0"/>
        <v>103</v>
      </c>
    </row>
    <row r="11" spans="1:7" hidden="1" x14ac:dyDescent="0.4">
      <c r="A11" t="s">
        <v>41</v>
      </c>
      <c r="B11" t="s">
        <v>42</v>
      </c>
      <c r="C11" t="s">
        <v>43</v>
      </c>
      <c r="D11" t="s">
        <v>44</v>
      </c>
      <c r="E11">
        <v>103</v>
      </c>
      <c r="F11">
        <v>1</v>
      </c>
      <c r="G11">
        <f t="shared" si="0"/>
        <v>103</v>
      </c>
    </row>
    <row r="12" spans="1:7" hidden="1" x14ac:dyDescent="0.4">
      <c r="A12" t="s">
        <v>45</v>
      </c>
      <c r="B12" t="s">
        <v>46</v>
      </c>
      <c r="C12" t="s">
        <v>47</v>
      </c>
      <c r="D12" t="s">
        <v>48</v>
      </c>
      <c r="E12">
        <v>15</v>
      </c>
      <c r="F12">
        <v>3</v>
      </c>
      <c r="G12">
        <f t="shared" si="0"/>
        <v>45</v>
      </c>
    </row>
    <row r="13" spans="1:7" hidden="1" x14ac:dyDescent="0.4">
      <c r="A13" t="s">
        <v>49</v>
      </c>
      <c r="B13" t="s">
        <v>50</v>
      </c>
      <c r="C13" t="s">
        <v>51</v>
      </c>
      <c r="D13" t="s">
        <v>52</v>
      </c>
      <c r="E13">
        <v>15</v>
      </c>
      <c r="F13">
        <v>1</v>
      </c>
      <c r="G13">
        <f t="shared" si="0"/>
        <v>15</v>
      </c>
    </row>
    <row r="14" spans="1:7" hidden="1" x14ac:dyDescent="0.4">
      <c r="A14" t="s">
        <v>53</v>
      </c>
      <c r="B14" t="s">
        <v>54</v>
      </c>
      <c r="C14" t="s">
        <v>55</v>
      </c>
      <c r="D14" t="s">
        <v>56</v>
      </c>
      <c r="E14">
        <v>15</v>
      </c>
      <c r="F14">
        <v>1</v>
      </c>
      <c r="G14">
        <f t="shared" si="0"/>
        <v>15</v>
      </c>
    </row>
    <row r="15" spans="1:7" hidden="1" x14ac:dyDescent="0.4">
      <c r="A15" t="s">
        <v>57</v>
      </c>
      <c r="B15" t="s">
        <v>58</v>
      </c>
      <c r="C15" t="s">
        <v>59</v>
      </c>
      <c r="D15" t="s">
        <v>60</v>
      </c>
      <c r="E15">
        <v>18</v>
      </c>
      <c r="F15">
        <v>1</v>
      </c>
      <c r="G15">
        <f t="shared" si="0"/>
        <v>18</v>
      </c>
    </row>
    <row r="16" spans="1:7" hidden="1" x14ac:dyDescent="0.4">
      <c r="A16" t="s">
        <v>61</v>
      </c>
      <c r="B16" t="s">
        <v>62</v>
      </c>
      <c r="C16" t="s">
        <v>63</v>
      </c>
      <c r="D16" t="s">
        <v>64</v>
      </c>
      <c r="E16">
        <v>231</v>
      </c>
      <c r="F16">
        <v>3</v>
      </c>
      <c r="G16">
        <f t="shared" si="0"/>
        <v>693</v>
      </c>
    </row>
    <row r="17" spans="6:8" hidden="1" x14ac:dyDescent="0.4"/>
    <row r="18" spans="6:8" hidden="1" x14ac:dyDescent="0.4">
      <c r="F18" s="1" t="s">
        <v>66</v>
      </c>
      <c r="G18" s="2">
        <f>SUM(G2:G16)</f>
        <v>2497.8000000000002</v>
      </c>
      <c r="H18" t="s">
        <v>67</v>
      </c>
    </row>
    <row r="19" spans="6:8" hidden="1" x14ac:dyDescent="0.4">
      <c r="F19" s="1" t="s">
        <v>68</v>
      </c>
      <c r="G19" s="2">
        <f>G2+G3+G4+G5+G6+G9+G10+G11+G12+G13+G14+G15+G16</f>
        <v>2287.8000000000002</v>
      </c>
      <c r="H19" t="s">
        <v>67</v>
      </c>
    </row>
  </sheetData>
  <autoFilter ref="D1:D19" xr:uid="{19C7E483-4884-4EEE-A702-A72D577E2690}">
    <filterColumn colId="0">
      <filters>
        <filter val="https://akizukidenshi.com/catalog/g/g117950/"/>
        <filter val="https://akizukidenshi.com/catalog/g/g117953/"/>
      </filters>
    </filterColumn>
  </autoFilter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ConverterBoard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天?優太_阿南高専</cp:lastModifiedBy>
  <dcterms:created xsi:type="dcterms:W3CDTF">2025-05-29T04:47:11Z</dcterms:created>
  <dcterms:modified xsi:type="dcterms:W3CDTF">2025-06-01T06:25:59Z</dcterms:modified>
</cp:coreProperties>
</file>