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MyFiles\ロボット研究部\基板\Robocon2025-PCB\ConverterBoard\bom\"/>
    </mc:Choice>
  </mc:AlternateContent>
  <xr:revisionPtr revIDLastSave="0" documentId="13_ncr:1_{1ABB95D4-8172-4810-9387-4CAD1F2A77F9}" xr6:coauthVersionLast="47" xr6:coauthVersionMax="47" xr10:uidLastSave="{00000000-0000-0000-0000-000000000000}"/>
  <bookViews>
    <workbookView xWindow="6210" yWindow="4185" windowWidth="21600" windowHeight="11295" xr2:uid="{08D47E81-4CAA-49B5-8CB7-498F46F5949F}"/>
  </bookViews>
  <sheets>
    <sheet name="ConverterBoard" sheetId="1" r:id="rId1"/>
    <sheet name="印刷用" sheetId="2" r:id="rId2"/>
  </sheets>
  <definedNames>
    <definedName name="_xlnm._FilterDatabase" localSheetId="0" hidden="1">ConverterBoard!$D$1:$D$22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</calcChain>
</file>

<file path=xl/sharedStrings.xml><?xml version="1.0" encoding="utf-8"?>
<sst xmlns="http://schemas.openxmlformats.org/spreadsheetml/2006/main" count="164" uniqueCount="82">
  <si>
    <t>Reference</t>
  </si>
  <si>
    <t>Value</t>
  </si>
  <si>
    <t>Name</t>
  </si>
  <si>
    <t>URL</t>
  </si>
  <si>
    <t>Price</t>
  </si>
  <si>
    <t>Qty</t>
  </si>
  <si>
    <t>C1,C2,C3,C4,C5,C6</t>
  </si>
  <si>
    <t>4.7u</t>
  </si>
  <si>
    <t>GCJ31CC71E106MA15L</t>
  </si>
  <si>
    <t>https://www.digikey.jp/ja/products/detail/murata-electronics/GCJ31CC71E106MA15L/10694168</t>
  </si>
  <si>
    <t>C7,C8,C9</t>
  </si>
  <si>
    <t>10n</t>
  </si>
  <si>
    <t>GCM1885C1H103JA16D</t>
  </si>
  <si>
    <t>https://www.digikey.jp/ja/products/detail/murata-electronics/GCM1885C1H103JA16D/13402328</t>
  </si>
  <si>
    <t>C10,C11,C12</t>
  </si>
  <si>
    <t>82p</t>
  </si>
  <si>
    <t>GCM1885C2A820JA16D</t>
  </si>
  <si>
    <t>https://www.digikey.jp/ja/products/detail/murata-electronics/GCM1885C2A820JA16D/2591816</t>
  </si>
  <si>
    <t>C13,C14,C15,C16,C17,C18,C19,C20,C21,C22,C23,C24</t>
  </si>
  <si>
    <t>22u</t>
  </si>
  <si>
    <t>CL31A226KAHNNNE</t>
  </si>
  <si>
    <t>https://www.digikey.jp/ja/products/detail/samsung-electro-mechanics/CL31A226KAHNNNE/3888705</t>
  </si>
  <si>
    <t>D1,D2,D3</t>
  </si>
  <si>
    <t>D_Schottky</t>
  </si>
  <si>
    <t>B550C-13-F</t>
  </si>
  <si>
    <t>https://www.digikey.jp/ja/products/detail/diodes-incorporated/B550C-13-F/768772</t>
  </si>
  <si>
    <t>D4,D5,D6,D7</t>
  </si>
  <si>
    <t>12V,5V,6.5V,BATT</t>
  </si>
  <si>
    <t>SML-D12U8WT86</t>
  </si>
  <si>
    <t>https://www.digikey.jp/ja/products/detail/rohm-semiconductor/SML-D12U8WT86/1641799</t>
  </si>
  <si>
    <t>J1</t>
  </si>
  <si>
    <t>PWR_IN</t>
  </si>
  <si>
    <t>XT60U-M</t>
  </si>
  <si>
    <t>https://akizukidenshi.com/catalog/g/g117953/</t>
  </si>
  <si>
    <t>J2,J3,J4</t>
  </si>
  <si>
    <t>PWR_OUT1,PWR_OUT2,PWR_OUT3</t>
  </si>
  <si>
    <t>XT30U-F</t>
  </si>
  <si>
    <t>https://akizukidenshi.com/catalog/g/g117950/</t>
  </si>
  <si>
    <t>L1</t>
  </si>
  <si>
    <t>15u</t>
  </si>
  <si>
    <t>NR10050T150M</t>
  </si>
  <si>
    <t>https://www.digikey.jp/ja/products/detail/taiyo-yuden/NR10050T150M/1171798</t>
  </si>
  <si>
    <t>L2,L3</t>
  </si>
  <si>
    <t>NR10050T220M</t>
  </si>
  <si>
    <t>https://www.digikey.jp/ja/products/detail/taiyo-yuden/NR10050T220M/1007973</t>
  </si>
  <si>
    <t>R1,R3,R5</t>
  </si>
  <si>
    <t>100k</t>
  </si>
  <si>
    <t>RN73H1JTTD1003B25</t>
  </si>
  <si>
    <t>https://www.digikey.jp/ja/products/detail/koa-speer-electronics-inc/RN73H1JTTD1003B25/10675246</t>
  </si>
  <si>
    <t>R2</t>
  </si>
  <si>
    <t>31.6k</t>
  </si>
  <si>
    <t>RN73H1JTTD3162B25</t>
  </si>
  <si>
    <t>https://www.digikey.jp/ja/products/detail/koa-speer-electronics-inc/RN73H1JTTD3162B25/10683077</t>
  </si>
  <si>
    <t>R4</t>
  </si>
  <si>
    <t>22.9k</t>
  </si>
  <si>
    <t>RN73R1JTTD2292B25</t>
  </si>
  <si>
    <t>https://www.digikey.jp/ja/products/detail/koa-speer-electronics-inc/RN73R1JTTD2292B25/10013006</t>
  </si>
  <si>
    <t>R6</t>
  </si>
  <si>
    <t>18k</t>
  </si>
  <si>
    <t>RN73H1JTTD1802B25</t>
  </si>
  <si>
    <t>https://www.digikey.jp/ja/products/detail/koa-speer-electronics-inc/RN73H1JTTD1802B25/10688678</t>
  </si>
  <si>
    <t>R7</t>
  </si>
  <si>
    <t>1.5k</t>
  </si>
  <si>
    <t>ESR03EZPJ152</t>
  </si>
  <si>
    <t>https://www.digikey.jp/ja/products/detail/rohm-semiconductor/ESR03EZPJ152/1983456</t>
  </si>
  <si>
    <t>R8</t>
  </si>
  <si>
    <t>ESR03EZPJ241</t>
  </si>
  <si>
    <t>https://www.digikey.jp/ja/products/detail/rohm-semiconductor/ESR03EZPJ241/1762728</t>
  </si>
  <si>
    <t>R9</t>
  </si>
  <si>
    <t>ESR03EZPD3900</t>
  </si>
  <si>
    <t>https://www.digikey.jp/ja/products/detail/rohm-semiconductor/ESR03EZPD3900/21326149</t>
  </si>
  <si>
    <t>R10</t>
  </si>
  <si>
    <t>ESR03EZPF4990</t>
  </si>
  <si>
    <t>https://www.digikey.jp/ja/products/detail/rohm-semiconductor/ESR03EZPF4990/21819734</t>
  </si>
  <si>
    <t>U1,U2,U3</t>
  </si>
  <si>
    <t>RT6285</t>
  </si>
  <si>
    <t>RT6285GSP</t>
  </si>
  <si>
    <t>https://www.digikey.jp/ja/products/detail/richtek-usa-inc/RT6285GSP/16376754</t>
  </si>
  <si>
    <t>Total</t>
    <phoneticPr fontId="18"/>
  </si>
  <si>
    <t>合計</t>
    <rPh sb="0" eb="2">
      <t>ゴウケイ</t>
    </rPh>
    <phoneticPr fontId="18"/>
  </si>
  <si>
    <t>円</t>
    <rPh sb="0" eb="1">
      <t>エン</t>
    </rPh>
    <phoneticPr fontId="18"/>
  </si>
  <si>
    <t>C13,C14,C15,C16,C17,C18,
C19,C20,C21,C22,C23,C24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</si>
</sst>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2796-6F64-4C5B-86BD-C5F31A5F126B}">
  <sheetPr filterMode="1"/>
  <dimension ref="A1:H22"/>
  <sheetViews>
    <sheetView tabSelected="1" workbookViewId="0">
      <selection activeCell="J15" sqref="J15"/>
    </sheetView>
  </sheetViews>
  <sheetFormatPr defaultRowHeight="18.75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78</v>
      </c>
    </row>
    <row r="2" spans="1:7" x14ac:dyDescent="0.4">
      <c r="A2" t="s">
        <v>6</v>
      </c>
      <c r="B2" t="s">
        <v>7</v>
      </c>
      <c r="C2" t="s">
        <v>8</v>
      </c>
      <c r="D2" t="s">
        <v>9</v>
      </c>
      <c r="E2">
        <v>107</v>
      </c>
      <c r="F2">
        <v>6</v>
      </c>
      <c r="G2">
        <f>E2*F2</f>
        <v>642</v>
      </c>
    </row>
    <row r="3" spans="1:7" x14ac:dyDescent="0.4">
      <c r="A3" t="s">
        <v>10</v>
      </c>
      <c r="B3" t="s">
        <v>11</v>
      </c>
      <c r="C3" t="s">
        <v>12</v>
      </c>
      <c r="D3" t="s">
        <v>13</v>
      </c>
      <c r="E3">
        <v>26</v>
      </c>
      <c r="F3">
        <v>3</v>
      </c>
      <c r="G3">
        <f t="shared" ref="G3:G20" si="0">E3*F3</f>
        <v>78</v>
      </c>
    </row>
    <row r="4" spans="1:7" x14ac:dyDescent="0.4">
      <c r="A4" t="s">
        <v>14</v>
      </c>
      <c r="B4" t="s">
        <v>15</v>
      </c>
      <c r="C4" t="s">
        <v>16</v>
      </c>
      <c r="D4" t="s">
        <v>17</v>
      </c>
      <c r="E4">
        <v>15</v>
      </c>
      <c r="F4">
        <v>3</v>
      </c>
      <c r="G4">
        <f t="shared" si="0"/>
        <v>45</v>
      </c>
    </row>
    <row r="5" spans="1:7" x14ac:dyDescent="0.4">
      <c r="A5" t="s">
        <v>18</v>
      </c>
      <c r="B5" t="s">
        <v>19</v>
      </c>
      <c r="C5" t="s">
        <v>20</v>
      </c>
      <c r="D5" t="s">
        <v>21</v>
      </c>
      <c r="E5">
        <v>21</v>
      </c>
      <c r="F5">
        <v>12</v>
      </c>
      <c r="G5">
        <f t="shared" si="0"/>
        <v>252</v>
      </c>
    </row>
    <row r="6" spans="1:7" x14ac:dyDescent="0.4">
      <c r="A6" t="s">
        <v>22</v>
      </c>
      <c r="B6" t="s">
        <v>23</v>
      </c>
      <c r="C6" t="s">
        <v>24</v>
      </c>
      <c r="D6" t="s">
        <v>25</v>
      </c>
      <c r="E6">
        <v>99</v>
      </c>
      <c r="F6">
        <v>3</v>
      </c>
      <c r="G6">
        <f t="shared" si="0"/>
        <v>297</v>
      </c>
    </row>
    <row r="7" spans="1:7" x14ac:dyDescent="0.4">
      <c r="A7" t="s">
        <v>26</v>
      </c>
      <c r="B7" t="s">
        <v>27</v>
      </c>
      <c r="C7" t="s">
        <v>28</v>
      </c>
      <c r="D7" t="s">
        <v>29</v>
      </c>
      <c r="E7">
        <v>30</v>
      </c>
      <c r="F7">
        <v>4</v>
      </c>
      <c r="G7">
        <f t="shared" si="0"/>
        <v>120</v>
      </c>
    </row>
    <row r="8" spans="1:7" hidden="1" x14ac:dyDescent="0.4">
      <c r="A8" t="s">
        <v>30</v>
      </c>
      <c r="B8" t="s">
        <v>31</v>
      </c>
      <c r="C8" t="s">
        <v>32</v>
      </c>
      <c r="D8" t="s">
        <v>33</v>
      </c>
      <c r="E8">
        <v>60</v>
      </c>
      <c r="F8">
        <v>1</v>
      </c>
      <c r="G8">
        <f t="shared" si="0"/>
        <v>60</v>
      </c>
    </row>
    <row r="9" spans="1:7" hidden="1" x14ac:dyDescent="0.4">
      <c r="A9" t="s">
        <v>34</v>
      </c>
      <c r="B9" t="s">
        <v>35</v>
      </c>
      <c r="C9" t="s">
        <v>36</v>
      </c>
      <c r="D9" t="s">
        <v>37</v>
      </c>
      <c r="E9">
        <v>50</v>
      </c>
      <c r="F9">
        <v>3</v>
      </c>
      <c r="G9">
        <f t="shared" si="0"/>
        <v>150</v>
      </c>
    </row>
    <row r="10" spans="1:7" x14ac:dyDescent="0.4">
      <c r="A10" t="s">
        <v>38</v>
      </c>
      <c r="B10" t="s">
        <v>39</v>
      </c>
      <c r="C10" t="s">
        <v>40</v>
      </c>
      <c r="D10" t="s">
        <v>41</v>
      </c>
      <c r="E10">
        <v>103</v>
      </c>
      <c r="F10">
        <v>1</v>
      </c>
      <c r="G10">
        <f t="shared" si="0"/>
        <v>103</v>
      </c>
    </row>
    <row r="11" spans="1:7" x14ac:dyDescent="0.4">
      <c r="A11" t="s">
        <v>42</v>
      </c>
      <c r="B11" t="s">
        <v>19</v>
      </c>
      <c r="C11" t="s">
        <v>43</v>
      </c>
      <c r="D11" t="s">
        <v>44</v>
      </c>
      <c r="E11">
        <v>103</v>
      </c>
      <c r="F11">
        <v>2</v>
      </c>
      <c r="G11">
        <f t="shared" si="0"/>
        <v>206</v>
      </c>
    </row>
    <row r="12" spans="1:7" x14ac:dyDescent="0.4">
      <c r="A12" t="s">
        <v>45</v>
      </c>
      <c r="B12" t="s">
        <v>46</v>
      </c>
      <c r="C12" t="s">
        <v>47</v>
      </c>
      <c r="D12" t="s">
        <v>48</v>
      </c>
      <c r="E12">
        <v>15</v>
      </c>
      <c r="F12">
        <v>3</v>
      </c>
      <c r="G12">
        <f t="shared" si="0"/>
        <v>45</v>
      </c>
    </row>
    <row r="13" spans="1:7" x14ac:dyDescent="0.4">
      <c r="A13" t="s">
        <v>49</v>
      </c>
      <c r="B13" t="s">
        <v>50</v>
      </c>
      <c r="C13" t="s">
        <v>51</v>
      </c>
      <c r="D13" t="s">
        <v>52</v>
      </c>
      <c r="E13">
        <v>15</v>
      </c>
      <c r="F13">
        <v>1</v>
      </c>
      <c r="G13">
        <f t="shared" si="0"/>
        <v>15</v>
      </c>
    </row>
    <row r="14" spans="1:7" x14ac:dyDescent="0.4">
      <c r="A14" t="s">
        <v>53</v>
      </c>
      <c r="B14" t="s">
        <v>54</v>
      </c>
      <c r="C14" t="s">
        <v>55</v>
      </c>
      <c r="D14" t="s">
        <v>56</v>
      </c>
      <c r="E14">
        <v>15</v>
      </c>
      <c r="F14">
        <v>1</v>
      </c>
      <c r="G14">
        <f t="shared" si="0"/>
        <v>15</v>
      </c>
    </row>
    <row r="15" spans="1:7" x14ac:dyDescent="0.4">
      <c r="A15" t="s">
        <v>57</v>
      </c>
      <c r="B15" t="s">
        <v>58</v>
      </c>
      <c r="C15" t="s">
        <v>59</v>
      </c>
      <c r="D15" t="s">
        <v>60</v>
      </c>
      <c r="E15">
        <v>32</v>
      </c>
      <c r="F15">
        <v>1</v>
      </c>
      <c r="G15">
        <f t="shared" si="0"/>
        <v>32</v>
      </c>
    </row>
    <row r="16" spans="1:7" x14ac:dyDescent="0.4">
      <c r="A16" t="s">
        <v>61</v>
      </c>
      <c r="B16" t="s">
        <v>62</v>
      </c>
      <c r="C16" t="s">
        <v>63</v>
      </c>
      <c r="D16" t="s">
        <v>64</v>
      </c>
      <c r="E16">
        <v>22</v>
      </c>
      <c r="F16">
        <v>1</v>
      </c>
      <c r="G16">
        <f t="shared" si="0"/>
        <v>22</v>
      </c>
    </row>
    <row r="17" spans="1:8" x14ac:dyDescent="0.4">
      <c r="A17" t="s">
        <v>65</v>
      </c>
      <c r="B17">
        <v>240</v>
      </c>
      <c r="C17" t="s">
        <v>66</v>
      </c>
      <c r="D17" t="s">
        <v>67</v>
      </c>
      <c r="E17">
        <v>22</v>
      </c>
      <c r="F17">
        <v>1</v>
      </c>
      <c r="G17">
        <f t="shared" si="0"/>
        <v>22</v>
      </c>
    </row>
    <row r="18" spans="1:8" x14ac:dyDescent="0.4">
      <c r="A18" t="s">
        <v>68</v>
      </c>
      <c r="B18">
        <v>390</v>
      </c>
      <c r="C18" t="s">
        <v>69</v>
      </c>
      <c r="D18" t="s">
        <v>70</v>
      </c>
      <c r="E18">
        <v>31</v>
      </c>
      <c r="F18">
        <v>1</v>
      </c>
      <c r="G18">
        <f t="shared" si="0"/>
        <v>31</v>
      </c>
    </row>
    <row r="19" spans="1:8" x14ac:dyDescent="0.4">
      <c r="A19" t="s">
        <v>71</v>
      </c>
      <c r="B19">
        <v>500</v>
      </c>
      <c r="C19" t="s">
        <v>72</v>
      </c>
      <c r="D19" t="s">
        <v>73</v>
      </c>
      <c r="E19">
        <v>23</v>
      </c>
      <c r="F19">
        <v>1</v>
      </c>
      <c r="G19">
        <f t="shared" si="0"/>
        <v>23</v>
      </c>
    </row>
    <row r="20" spans="1:8" x14ac:dyDescent="0.4">
      <c r="A20" t="s">
        <v>74</v>
      </c>
      <c r="B20" t="s">
        <v>75</v>
      </c>
      <c r="C20" t="s">
        <v>76</v>
      </c>
      <c r="D20" t="s">
        <v>77</v>
      </c>
      <c r="E20">
        <v>241</v>
      </c>
      <c r="F20">
        <v>3</v>
      </c>
      <c r="G20">
        <f t="shared" si="0"/>
        <v>723</v>
      </c>
    </row>
    <row r="21" spans="1:8" hidden="1" x14ac:dyDescent="0.4"/>
    <row r="22" spans="1:8" hidden="1" x14ac:dyDescent="0.4">
      <c r="F22" s="1" t="s">
        <v>79</v>
      </c>
      <c r="G22">
        <f>SUM(G2:G20)</f>
        <v>2881</v>
      </c>
      <c r="H22" t="s">
        <v>80</v>
      </c>
    </row>
  </sheetData>
  <autoFilter ref="D1:D22" xr:uid="{24012796-6F64-4C5B-86BD-C5F31A5F126B}">
    <filterColumn colId="0">
      <filters>
        <filter val="https://www.digikey.jp/ja/products/detail/diodes-incorporated/B550C-13-F/768772"/>
        <filter val="https://www.digikey.jp/ja/products/detail/koa-speer-electronics-inc/RN73H1JTTD1003B25/10675246"/>
        <filter val="https://www.digikey.jp/ja/products/detail/koa-speer-electronics-inc/RN73H1JTTD1802B25/10688678"/>
        <filter val="https://www.digikey.jp/ja/products/detail/koa-speer-electronics-inc/RN73H1JTTD3162B25/10683077"/>
        <filter val="https://www.digikey.jp/ja/products/detail/koa-speer-electronics-inc/RN73R1JTTD2292B25/10013006"/>
        <filter val="https://www.digikey.jp/ja/products/detail/murata-electronics/GCJ31CC71E106MA15L/10694168"/>
        <filter val="https://www.digikey.jp/ja/products/detail/murata-electronics/GCM1885C1H103JA16D/13402328"/>
        <filter val="https://www.digikey.jp/ja/products/detail/murata-electronics/GCM1885C2A820JA16D/2591816"/>
        <filter val="https://www.digikey.jp/ja/products/detail/richtek-usa-inc/RT6285GSP/16376754"/>
        <filter val="https://www.digikey.jp/ja/products/detail/rohm-semiconductor/ESR03EZPD3900/21326149"/>
        <filter val="https://www.digikey.jp/ja/products/detail/rohm-semiconductor/ESR03EZPF4990/21819734"/>
        <filter val="https://www.digikey.jp/ja/products/detail/rohm-semiconductor/ESR03EZPJ152/1983456"/>
        <filter val="https://www.digikey.jp/ja/products/detail/rohm-semiconductor/ESR03EZPJ241/1762728"/>
        <filter val="https://www.digikey.jp/ja/products/detail/rohm-semiconductor/SML-D12U8WT86/1641799"/>
        <filter val="https://www.digikey.jp/ja/products/detail/samsung-electro-mechanics/CL31A226KAHNNNE/3888705"/>
        <filter val="https://www.digikey.jp/ja/products/detail/taiyo-yuden/NR10050T150M/1171798"/>
        <filter val="https://www.digikey.jp/ja/products/detail/taiyo-yuden/NR10050T220M/1007973"/>
      </filters>
    </filterColumn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7883-FF42-4570-A220-21FECEC9DDE2}">
  <dimension ref="A1:H22"/>
  <sheetViews>
    <sheetView workbookViewId="0">
      <selection activeCell="A6" sqref="A6"/>
    </sheetView>
  </sheetViews>
  <sheetFormatPr defaultRowHeight="18.75" x14ac:dyDescent="0.4"/>
  <cols>
    <col min="1" max="1" width="23.25" customWidth="1"/>
    <col min="2" max="2" width="0" hidden="1" customWidth="1"/>
    <col min="3" max="3" width="21.125" customWidth="1"/>
    <col min="5" max="7" width="0" hidden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78</v>
      </c>
    </row>
    <row r="2" spans="1:7" x14ac:dyDescent="0.4">
      <c r="A2" t="s">
        <v>6</v>
      </c>
      <c r="B2" t="s">
        <v>7</v>
      </c>
      <c r="C2" t="s">
        <v>8</v>
      </c>
      <c r="D2" t="s">
        <v>9</v>
      </c>
      <c r="E2">
        <v>107</v>
      </c>
      <c r="F2">
        <v>6</v>
      </c>
      <c r="G2">
        <f>E2*F2</f>
        <v>642</v>
      </c>
    </row>
    <row r="3" spans="1:7" x14ac:dyDescent="0.4">
      <c r="A3" t="s">
        <v>10</v>
      </c>
      <c r="B3" t="s">
        <v>11</v>
      </c>
      <c r="C3" t="s">
        <v>12</v>
      </c>
      <c r="D3" t="s">
        <v>13</v>
      </c>
      <c r="E3">
        <v>26</v>
      </c>
      <c r="F3">
        <v>3</v>
      </c>
      <c r="G3">
        <f t="shared" ref="G3:G20" si="0">E3*F3</f>
        <v>78</v>
      </c>
    </row>
    <row r="4" spans="1:7" x14ac:dyDescent="0.4">
      <c r="A4" t="s">
        <v>14</v>
      </c>
      <c r="B4" t="s">
        <v>15</v>
      </c>
      <c r="C4" t="s">
        <v>16</v>
      </c>
      <c r="D4" t="s">
        <v>17</v>
      </c>
      <c r="E4">
        <v>15</v>
      </c>
      <c r="F4">
        <v>3</v>
      </c>
      <c r="G4">
        <f t="shared" si="0"/>
        <v>45</v>
      </c>
    </row>
    <row r="5" spans="1:7" ht="37.5" x14ac:dyDescent="0.4">
      <c r="A5" s="2" t="s">
        <v>81</v>
      </c>
      <c r="B5" t="s">
        <v>19</v>
      </c>
      <c r="C5" t="s">
        <v>20</v>
      </c>
      <c r="D5" t="s">
        <v>21</v>
      </c>
      <c r="E5">
        <v>21</v>
      </c>
      <c r="F5">
        <v>12</v>
      </c>
      <c r="G5">
        <f t="shared" si="0"/>
        <v>252</v>
      </c>
    </row>
    <row r="6" spans="1:7" x14ac:dyDescent="0.4">
      <c r="A6" t="s">
        <v>22</v>
      </c>
      <c r="B6" t="s">
        <v>23</v>
      </c>
      <c r="C6" t="s">
        <v>24</v>
      </c>
      <c r="D6" t="s">
        <v>25</v>
      </c>
      <c r="E6">
        <v>99</v>
      </c>
      <c r="F6">
        <v>3</v>
      </c>
      <c r="G6">
        <f t="shared" si="0"/>
        <v>297</v>
      </c>
    </row>
    <row r="7" spans="1:7" x14ac:dyDescent="0.4">
      <c r="A7" t="s">
        <v>26</v>
      </c>
      <c r="B7" t="s">
        <v>27</v>
      </c>
      <c r="C7" t="s">
        <v>28</v>
      </c>
      <c r="D7" t="s">
        <v>29</v>
      </c>
      <c r="E7">
        <v>30</v>
      </c>
      <c r="F7">
        <v>4</v>
      </c>
      <c r="G7">
        <f t="shared" si="0"/>
        <v>120</v>
      </c>
    </row>
    <row r="8" spans="1:7" x14ac:dyDescent="0.4">
      <c r="A8" t="s">
        <v>30</v>
      </c>
      <c r="B8" t="s">
        <v>31</v>
      </c>
      <c r="C8" t="s">
        <v>32</v>
      </c>
      <c r="D8" t="s">
        <v>33</v>
      </c>
      <c r="E8">
        <v>60</v>
      </c>
      <c r="F8">
        <v>1</v>
      </c>
      <c r="G8">
        <f t="shared" si="0"/>
        <v>60</v>
      </c>
    </row>
    <row r="9" spans="1:7" x14ac:dyDescent="0.4">
      <c r="A9" t="s">
        <v>34</v>
      </c>
      <c r="B9" t="s">
        <v>35</v>
      </c>
      <c r="C9" t="s">
        <v>36</v>
      </c>
      <c r="D9" t="s">
        <v>37</v>
      </c>
      <c r="E9">
        <v>50</v>
      </c>
      <c r="F9">
        <v>3</v>
      </c>
      <c r="G9">
        <f t="shared" si="0"/>
        <v>150</v>
      </c>
    </row>
    <row r="10" spans="1:7" x14ac:dyDescent="0.4">
      <c r="A10" t="s">
        <v>38</v>
      </c>
      <c r="B10" t="s">
        <v>39</v>
      </c>
      <c r="C10" t="s">
        <v>40</v>
      </c>
      <c r="D10" t="s">
        <v>41</v>
      </c>
      <c r="E10">
        <v>103</v>
      </c>
      <c r="F10">
        <v>1</v>
      </c>
      <c r="G10">
        <f t="shared" si="0"/>
        <v>103</v>
      </c>
    </row>
    <row r="11" spans="1:7" x14ac:dyDescent="0.4">
      <c r="A11" t="s">
        <v>42</v>
      </c>
      <c r="B11" t="s">
        <v>19</v>
      </c>
      <c r="C11" t="s">
        <v>43</v>
      </c>
      <c r="D11" t="s">
        <v>44</v>
      </c>
      <c r="E11">
        <v>103</v>
      </c>
      <c r="F11">
        <v>2</v>
      </c>
      <c r="G11">
        <f t="shared" si="0"/>
        <v>206</v>
      </c>
    </row>
    <row r="12" spans="1:7" x14ac:dyDescent="0.4">
      <c r="A12" t="s">
        <v>45</v>
      </c>
      <c r="B12" t="s">
        <v>46</v>
      </c>
      <c r="C12" t="s">
        <v>47</v>
      </c>
      <c r="D12" t="s">
        <v>48</v>
      </c>
      <c r="E12">
        <v>15</v>
      </c>
      <c r="F12">
        <v>3</v>
      </c>
      <c r="G12">
        <f t="shared" si="0"/>
        <v>45</v>
      </c>
    </row>
    <row r="13" spans="1:7" x14ac:dyDescent="0.4">
      <c r="A13" t="s">
        <v>49</v>
      </c>
      <c r="B13" t="s">
        <v>50</v>
      </c>
      <c r="C13" t="s">
        <v>51</v>
      </c>
      <c r="D13" t="s">
        <v>52</v>
      </c>
      <c r="E13">
        <v>15</v>
      </c>
      <c r="F13">
        <v>1</v>
      </c>
      <c r="G13">
        <f t="shared" si="0"/>
        <v>15</v>
      </c>
    </row>
    <row r="14" spans="1:7" x14ac:dyDescent="0.4">
      <c r="A14" t="s">
        <v>53</v>
      </c>
      <c r="B14" t="s">
        <v>54</v>
      </c>
      <c r="C14" t="s">
        <v>55</v>
      </c>
      <c r="D14" t="s">
        <v>56</v>
      </c>
      <c r="E14">
        <v>15</v>
      </c>
      <c r="F14">
        <v>1</v>
      </c>
      <c r="G14">
        <f t="shared" si="0"/>
        <v>15</v>
      </c>
    </row>
    <row r="15" spans="1:7" x14ac:dyDescent="0.4">
      <c r="A15" t="s">
        <v>57</v>
      </c>
      <c r="B15" t="s">
        <v>58</v>
      </c>
      <c r="C15" t="s">
        <v>59</v>
      </c>
      <c r="D15" t="s">
        <v>60</v>
      </c>
      <c r="E15">
        <v>32</v>
      </c>
      <c r="F15">
        <v>1</v>
      </c>
      <c r="G15">
        <f t="shared" si="0"/>
        <v>32</v>
      </c>
    </row>
    <row r="16" spans="1:7" x14ac:dyDescent="0.4">
      <c r="A16" t="s">
        <v>61</v>
      </c>
      <c r="B16" t="s">
        <v>62</v>
      </c>
      <c r="C16" t="s">
        <v>63</v>
      </c>
      <c r="D16" t="s">
        <v>64</v>
      </c>
      <c r="E16">
        <v>22</v>
      </c>
      <c r="F16">
        <v>1</v>
      </c>
      <c r="G16">
        <f t="shared" si="0"/>
        <v>22</v>
      </c>
    </row>
    <row r="17" spans="1:8" x14ac:dyDescent="0.4">
      <c r="A17" t="s">
        <v>65</v>
      </c>
      <c r="B17">
        <v>240</v>
      </c>
      <c r="C17" t="s">
        <v>66</v>
      </c>
      <c r="D17" t="s">
        <v>67</v>
      </c>
      <c r="E17">
        <v>22</v>
      </c>
      <c r="F17">
        <v>1</v>
      </c>
      <c r="G17">
        <f t="shared" si="0"/>
        <v>22</v>
      </c>
    </row>
    <row r="18" spans="1:8" x14ac:dyDescent="0.4">
      <c r="A18" t="s">
        <v>68</v>
      </c>
      <c r="B18">
        <v>390</v>
      </c>
      <c r="C18" t="s">
        <v>69</v>
      </c>
      <c r="D18" t="s">
        <v>70</v>
      </c>
      <c r="E18">
        <v>31</v>
      </c>
      <c r="F18">
        <v>1</v>
      </c>
      <c r="G18">
        <f t="shared" si="0"/>
        <v>31</v>
      </c>
    </row>
    <row r="19" spans="1:8" x14ac:dyDescent="0.4">
      <c r="A19" t="s">
        <v>71</v>
      </c>
      <c r="B19">
        <v>500</v>
      </c>
      <c r="C19" t="s">
        <v>72</v>
      </c>
      <c r="D19" t="s">
        <v>73</v>
      </c>
      <c r="E19">
        <v>23</v>
      </c>
      <c r="F19">
        <v>1</v>
      </c>
      <c r="G19">
        <f t="shared" si="0"/>
        <v>23</v>
      </c>
    </row>
    <row r="20" spans="1:8" x14ac:dyDescent="0.4">
      <c r="A20" t="s">
        <v>74</v>
      </c>
      <c r="B20" t="s">
        <v>75</v>
      </c>
      <c r="C20" t="s">
        <v>76</v>
      </c>
      <c r="D20" t="s">
        <v>77</v>
      </c>
      <c r="E20">
        <v>241</v>
      </c>
      <c r="F20">
        <v>3</v>
      </c>
      <c r="G20">
        <f t="shared" si="0"/>
        <v>723</v>
      </c>
    </row>
    <row r="22" spans="1:8" hidden="1" x14ac:dyDescent="0.4">
      <c r="F22" s="1" t="s">
        <v>79</v>
      </c>
      <c r="G22">
        <f>SUM(G2:G20)</f>
        <v>2881</v>
      </c>
      <c r="H22" t="s">
        <v>80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ConverterBoard</vt:lpstr>
      <vt:lpstr>印刷用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天?優太_阿南高専</cp:lastModifiedBy>
  <dcterms:created xsi:type="dcterms:W3CDTF">2025-09-10T12:20:58Z</dcterms:created>
  <dcterms:modified xsi:type="dcterms:W3CDTF">2025-09-10T12:23:07Z</dcterms:modified>
</cp:coreProperties>
</file>